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9131a0f5fa0818/Bureau/"/>
    </mc:Choice>
  </mc:AlternateContent>
  <xr:revisionPtr revIDLastSave="162" documentId="13_ncr:1_{8A068987-F0C6-4727-B5FB-2ED5EEB4F4E9}" xr6:coauthVersionLast="47" xr6:coauthVersionMax="47" xr10:uidLastSave="{71E77701-1F70-4355-AAA0-0F41D1C92C76}"/>
  <bookViews>
    <workbookView xWindow="-103" yWindow="-103" windowWidth="22149" windowHeight="13200" xr2:uid="{E8BADEDA-4368-410C-B43D-F2F6F57FA088}"/>
  </bookViews>
  <sheets>
    <sheet name="Sheet1" sheetId="1" r:id="rId1"/>
  </sheet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6" i="1" l="1"/>
  <c r="G35" i="1"/>
  <c r="G34" i="1"/>
  <c r="G33" i="1"/>
  <c r="G32" i="1"/>
  <c r="G31" i="1"/>
  <c r="G30" i="1"/>
  <c r="G29" i="1"/>
  <c r="G28" i="1"/>
  <c r="G27" i="1"/>
  <c r="G26" i="1"/>
  <c r="G25" i="1"/>
  <c r="G23" i="1"/>
  <c r="G24" i="1"/>
  <c r="G22" i="1"/>
  <c r="G21" i="1"/>
  <c r="G20" i="1"/>
  <c r="G19" i="1"/>
  <c r="G18" i="1"/>
  <c r="G17" i="1"/>
  <c r="G16" i="1"/>
  <c r="G15" i="1"/>
  <c r="G14" i="1"/>
  <c r="G13" i="1"/>
  <c r="G12" i="1"/>
  <c r="L37" i="1"/>
  <c r="L39" i="1"/>
  <c r="L41" i="1"/>
  <c r="L42" i="1"/>
  <c r="L44" i="1"/>
  <c r="L12" i="1"/>
  <c r="L2" i="1"/>
  <c r="L3" i="1"/>
  <c r="L4" i="1"/>
  <c r="L5" i="1"/>
  <c r="L6" i="1"/>
  <c r="L7" i="1"/>
  <c r="L8" i="1"/>
  <c r="L9" i="1"/>
  <c r="L10" i="1"/>
  <c r="L11" i="1"/>
  <c r="L26" i="1"/>
  <c r="L27" i="1"/>
  <c r="L28" i="1"/>
  <c r="L29" i="1"/>
  <c r="L30" i="1"/>
  <c r="L31" i="1"/>
  <c r="L32" i="1"/>
  <c r="L33" i="1"/>
  <c r="L34" i="1"/>
  <c r="L35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36" i="1"/>
  <c r="L38" i="1"/>
  <c r="L40" i="1"/>
  <c r="L43" i="1"/>
  <c r="L45" i="1"/>
</calcChain>
</file>

<file path=xl/sharedStrings.xml><?xml version="1.0" encoding="utf-8"?>
<sst xmlns="http://schemas.openxmlformats.org/spreadsheetml/2006/main" count="159" uniqueCount="29">
  <si>
    <t>Name</t>
  </si>
  <si>
    <t>Description</t>
  </si>
  <si>
    <t>Frequency (MHz)</t>
  </si>
  <si>
    <t>LUTs</t>
  </si>
  <si>
    <t>FFs</t>
  </si>
  <si>
    <t>BRAMs</t>
  </si>
  <si>
    <t>DSPs</t>
  </si>
  <si>
    <t>Cost</t>
  </si>
  <si>
    <t>Pareto ? (Yes/No)</t>
  </si>
  <si>
    <t>-</t>
  </si>
  <si>
    <t>V0</t>
  </si>
  <si>
    <t>V2</t>
  </si>
  <si>
    <t>V3</t>
  </si>
  <si>
    <t>%CoreUtilization</t>
  </si>
  <si>
    <t>Config</t>
  </si>
  <si>
    <t>Bailey software-hardware</t>
  </si>
  <si>
    <t>Base-software</t>
  </si>
  <si>
    <t>Time tot (s)</t>
  </si>
  <si>
    <t>Time FFT (s)</t>
  </si>
  <si>
    <t>Energy FFT (J)</t>
  </si>
  <si>
    <t>Energy (J)</t>
  </si>
  <si>
    <t>SNR (dB)</t>
  </si>
  <si>
    <t>Bailey software-hardware with opti</t>
  </si>
  <si>
    <t>V4</t>
  </si>
  <si>
    <t>Bailey full software</t>
  </si>
  <si>
    <t>V5</t>
  </si>
  <si>
    <t>Bailey full hardware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</si>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</sst>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64" fontId="0" fillId="0" borderId="5" xfId="0" applyNumberFormat="1" applyBorder="1"/>
    <xf numFmtId="164" fontId="0" fillId="0" borderId="4" xfId="0" applyNumberFormat="1" applyBorder="1"/>
    <xf numFmtId="164" fontId="0" fillId="0" borderId="6" xfId="0" applyNumberFormat="1" applyBorder="1"/>
    <xf numFmtId="2" fontId="0" fillId="0" borderId="2" xfId="0" applyNumberFormat="1" applyBorder="1"/>
    <xf numFmtId="2" fontId="0" fillId="0" borderId="1" xfId="0" applyNumberFormat="1" applyBorder="1"/>
    <xf numFmtId="2" fontId="0" fillId="0" borderId="3" xfId="0" applyNumberFormat="1" applyBorder="1"/>
    <xf numFmtId="2" fontId="0" fillId="0" borderId="5" xfId="0" applyNumberFormat="1" applyBorder="1"/>
    <xf numFmtId="2" fontId="0" fillId="0" borderId="4" xfId="0" applyNumberFormat="1" applyBorder="1"/>
    <xf numFmtId="2" fontId="0" fillId="0" borderId="6" xfId="0" applyNumberFormat="1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17">
    <dxf>
      <border diagonalUp="0" diagonalDown="0">
        <left style="thin">
          <color indexed="64"/>
        </left>
        <right/>
        <vertic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vertic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vertic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vertical/>
      </border>
    </dxf>
    <dxf>
      <numFmt numFmtId="2" formatCode="0.00"/>
      <border diagonalUp="0" diagonalDown="0">
        <left/>
        <right style="thin">
          <color indexed="64"/>
        </right>
        <vertical/>
      </border>
    </dxf>
    <dxf>
      <border diagonalUp="0" diagonalDown="0">
        <left style="thin">
          <color indexed="64"/>
        </left>
        <right style="thin">
          <color indexed="64"/>
        </right>
        <vertical/>
      </border>
    </dxf>
    <dxf>
      <border diagonalUp="0" diagonalDown="0">
        <left style="thin">
          <color indexed="64"/>
        </left>
        <right style="thin">
          <color indexed="64"/>
        </right>
        <vertical/>
      </border>
    </dxf>
    <dxf>
      <border diagonalUp="0" diagonalDown="0">
        <left style="thin">
          <color indexed="64"/>
        </left>
        <right style="thin">
          <color indexed="64"/>
        </right>
        <vertical/>
      </border>
    </dxf>
    <dxf>
      <border diagonalUp="0" diagonalDown="0">
        <left style="thin">
          <color indexed="64"/>
        </left>
        <right style="thin">
          <color indexed="64"/>
        </right>
        <vertical/>
      </border>
    </dxf>
    <dxf>
      <border diagonalUp="0" diagonalDown="0">
        <left style="thin">
          <color indexed="64"/>
        </left>
        <right/>
      </border>
    </dxf>
    <dxf>
      <border diagonalUp="0" diagonalDown="0">
        <left style="thin">
          <color indexed="64"/>
        </left>
        <right style="thin">
          <color indexed="64"/>
        </right>
        <vertical/>
      </border>
    </dxf>
    <dxf>
      <border diagonalUp="0" diagonalDown="0">
        <left style="thin">
          <color indexed="64"/>
        </left>
        <right style="thin">
          <color indexed="64"/>
        </right>
        <vertical/>
      </border>
    </dxf>
    <dxf>
      <border diagonalUp="0" diagonalDown="0">
        <left style="thin">
          <color indexed="64"/>
        </left>
        <right style="thin">
          <color indexed="64"/>
        </right>
        <vertical/>
      </border>
    </dxf>
    <dxf>
      <border diagonalUp="0" diagonalDown="0">
        <left style="thin">
          <color indexed="64"/>
        </left>
        <right style="thin">
          <color indexed="64"/>
        </right>
        <vertical/>
      </border>
    </dxf>
    <dxf>
      <border diagonalUp="0" diagonalDown="0">
        <right style="thin">
          <color indexed="64"/>
        </right>
        <vertical/>
      </border>
    </dxf>
    <dxf>
      <border diagonalUp="0" diagonalDown="0">
        <left/>
        <right style="thin">
          <color indexed="64"/>
        </right>
        <vertic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 sz="1400" b="0" i="0" u="none" strike="noStrike" baseline="0"/>
              <a:t>Latency vs Resources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Time tot (s)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C5655A88-38FA-4524-A383-F77F178D8675}" type="CELLRANGE">
                      <a:rPr lang="en-US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9B76-403C-9A6A-0AFF9DDE235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E61CB19-B94B-41C6-B3AD-93E5B2754163}" type="CELLRANGE">
                      <a:rPr lang="en-US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9B76-403C-9A6A-0AFF9DDE235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3503842-B7F8-4A42-8392-A6D705D7590D}" type="CELLRANGE">
                      <a:rPr lang="en-US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9B76-403C-9A6A-0AFF9DDE235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7F514E0-9715-43BA-81D3-4CCFC7E15C45}" type="CELLRANGE">
                      <a:rPr lang="en-US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9B76-403C-9A6A-0AFF9DDE235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638C0E9-8E26-4886-A16C-9CE26BD7C6BF}" type="CELLRANGE">
                      <a:rPr lang="en-US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9B76-403C-9A6A-0AFF9DDE235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79448F7-6558-421A-907A-D944916ED2F1}" type="CELLRANGE">
                      <a:rPr lang="en-US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9B76-403C-9A6A-0AFF9DDE235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C460081-8175-47AD-8371-9E71919A9FC1}" type="CELLRANGE">
                      <a:rPr lang="en-US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9B76-403C-9A6A-0AFF9DDE235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DBCC416F-3F98-46A9-8A7E-D406F5199B88}" type="CELLRANGE">
                      <a:rPr lang="en-US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9B76-403C-9A6A-0AFF9DDE235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B6AF56E7-21A9-4C3F-AECA-69E1CB8383C9}" type="CELLRANGE">
                      <a:rPr lang="en-US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9B76-403C-9A6A-0AFF9DDE235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7F7514AB-0515-45EC-900C-0C2912115079}" type="CELLRANGE">
                      <a:rPr lang="en-US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9B76-403C-9A6A-0AFF9DDE235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AD7F5AA1-152D-4EDC-9831-2A3FB9544A65}" type="CELLRANGE">
                      <a:rPr lang="en-US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9B76-403C-9A6A-0AFF9DDE235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84600969-30BF-4DD4-8936-2AE78710C95D}" type="CELLRANGE">
                      <a:rPr lang="en-US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9B76-403C-9A6A-0AFF9DDE235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207FDCC4-C25E-470D-9952-F34522DCA438}" type="CELLRANGE">
                      <a:rPr lang="en-US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9B76-403C-9A6A-0AFF9DDE235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4145A35B-83C1-47EC-9296-8AE3FE966358}" type="CELLRANGE">
                      <a:rPr lang="en-US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9B76-403C-9A6A-0AFF9DDE235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004A912B-9BD8-4FF3-9E37-DD1DA1DF321F}" type="CELLRANGE">
                      <a:rPr lang="en-US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9B76-403C-9A6A-0AFF9DDE2350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0D72A021-A197-42EA-81AA-90DF2DDF7B69}" type="CELLRANGE">
                      <a:rPr lang="en-US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9B76-403C-9A6A-0AFF9DDE2350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1E4D1AC4-0DB4-43FB-B957-392D2BACC8E2}" type="CELLRANGE">
                      <a:rPr lang="en-US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9B76-403C-9A6A-0AFF9DDE2350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4EF6A29E-5B47-4C9D-8914-6C1FA4725810}" type="CELLRANGE">
                      <a:rPr lang="en-US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9B76-403C-9A6A-0AFF9DDE2350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A38FDC94-9A3E-4A59-B03A-B6566F4C7C08}" type="CELLRANGE">
                      <a:rPr lang="en-US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9B76-403C-9A6A-0AFF9DDE2350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E71C3A56-F935-41C1-8BF8-C136F4D48185}" type="CELLRANGE">
                      <a:rPr lang="en-US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9B76-403C-9A6A-0AFF9DDE2350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A99B226B-1A85-46F5-A68C-C69B447AB79B}" type="CELLRANGE">
                      <a:rPr lang="en-US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9B76-403C-9A6A-0AFF9DDE2350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D70363A1-F4D3-485E-AE1F-783523DB3C59}" type="CELLRANGE">
                      <a:rPr lang="en-US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9B76-403C-9A6A-0AFF9DDE2350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D4D41851-C37F-49A9-BD77-D0BE73C3C541}" type="CELLRANGE">
                      <a:rPr lang="en-US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9B76-403C-9A6A-0AFF9DDE2350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665F6C3C-A625-4192-9148-4D8D2029FB12}" type="CELLRANGE">
                      <a:rPr lang="en-US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9B76-403C-9A6A-0AFF9DDE2350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C2DCC4A2-B9AE-4D40-B37D-0AE428AE9936}" type="CELLRANGE">
                      <a:rPr lang="en-US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9B76-403C-9A6A-0AFF9DDE2350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4A164E9F-815D-4BA5-87EC-5357C8828137}" type="CELLRANGE">
                      <a:rPr lang="en-US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9B76-403C-9A6A-0AFF9DDE2350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156C8D70-4BE8-4150-BD52-153CA58274D3}" type="CELLRANGE">
                      <a:rPr lang="en-US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9B76-403C-9A6A-0AFF9DDE2350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CA4A358C-952A-4188-85CE-841784C5AD06}" type="CELLRANGE">
                      <a:rPr lang="en-US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9B76-403C-9A6A-0AFF9DDE2350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5D18E9C1-1B5A-42D4-88F2-DEC0A63202DE}" type="CELLRANGE">
                      <a:rPr lang="en-US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9B76-403C-9A6A-0AFF9DDE2350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65ED0101-6F9E-4ABF-BEB9-B9FC4AA4F8D2}" type="CELLRANGE">
                      <a:rPr lang="en-US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9B76-403C-9A6A-0AFF9DDE2350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FFCADCD3-54A1-4FE6-A55C-F4849E63078F}" type="CELLRANGE">
                      <a:rPr lang="en-US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9B76-403C-9A6A-0AFF9DDE2350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FBC914ED-CD6F-4B7B-B1E5-458C5D11C10D}" type="CELLRANGE">
                      <a:rPr lang="en-US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9B76-403C-9A6A-0AFF9DDE2350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E23ACB28-EDA4-4B0A-8E3C-234913887841}" type="CELLRANGE">
                      <a:rPr lang="en-US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9B76-403C-9A6A-0AFF9DDE2350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9CB1C606-CD33-410C-8B4C-D70C53691DBF}" type="CELLRANGE">
                      <a:rPr lang="en-US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9B76-403C-9A6A-0AFF9DDE2350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DD0DBD47-33F5-429B-A201-F6232551DC3D}" type="CELLRANGE">
                      <a:rPr lang="en-US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9B76-403C-9A6A-0AFF9DDE2350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9B76-403C-9A6A-0AFF9DDE2350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9B76-403C-9A6A-0AFF9DDE2350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9B76-403C-9A6A-0AFF9DDE2350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9B76-403C-9A6A-0AFF9DDE2350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9B76-403C-9A6A-0AFF9DDE2350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9B76-403C-9A6A-0AFF9DDE2350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9B76-403C-9A6A-0AFF9DDE2350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9B76-403C-9A6A-0AFF9DDE2350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9B76-403C-9A6A-0AFF9DDE23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Sheet1!$L$2:$L$45</c:f>
              <c:numCache>
                <c:formatCode>0.00</c:formatCode>
                <c:ptCount val="44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40.475799726589202</c:v>
                </c:pt>
                <c:pt idx="11">
                  <c:v>40.455799726589206</c:v>
                </c:pt>
                <c:pt idx="12">
                  <c:v>40.650799726589199</c:v>
                </c:pt>
                <c:pt idx="13">
                  <c:v>40.7567997265892</c:v>
                </c:pt>
                <c:pt idx="14">
                  <c:v>40.681799726589205</c:v>
                </c:pt>
                <c:pt idx="15">
                  <c:v>40.793799726589199</c:v>
                </c:pt>
                <c:pt idx="16">
                  <c:v>40.801799726589202</c:v>
                </c:pt>
                <c:pt idx="17">
                  <c:v>39.757604237867398</c:v>
                </c:pt>
                <c:pt idx="18">
                  <c:v>39.715604237867396</c:v>
                </c:pt>
                <c:pt idx="19">
                  <c:v>39.670604237867394</c:v>
                </c:pt>
                <c:pt idx="20">
                  <c:v>39.757604237867398</c:v>
                </c:pt>
                <c:pt idx="21">
                  <c:v>39.757604237867398</c:v>
                </c:pt>
                <c:pt idx="22">
                  <c:v>39.757604237867398</c:v>
                </c:pt>
                <c:pt idx="23">
                  <c:v>39.757604237867398</c:v>
                </c:pt>
                <c:pt idx="24">
                  <c:v>19.669</c:v>
                </c:pt>
                <c:pt idx="25">
                  <c:v>19.535</c:v>
                </c:pt>
                <c:pt idx="26">
                  <c:v>19.449000000000002</c:v>
                </c:pt>
                <c:pt idx="27">
                  <c:v>19.369</c:v>
                </c:pt>
                <c:pt idx="28">
                  <c:v>19.308000000000003</c:v>
                </c:pt>
                <c:pt idx="29">
                  <c:v>19.387</c:v>
                </c:pt>
                <c:pt idx="30">
                  <c:v>19.202999999999999</c:v>
                </c:pt>
                <c:pt idx="31">
                  <c:v>19.024999999999999</c:v>
                </c:pt>
                <c:pt idx="32">
                  <c:v>18.533000000000001</c:v>
                </c:pt>
                <c:pt idx="33">
                  <c:v>18.866</c:v>
                </c:pt>
                <c:pt idx="34">
                  <c:v>19.484591250854407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</c:numCache>
            </c:numRef>
          </c:xVal>
          <c:yVal>
            <c:numRef>
              <c:f>Sheet1!$E$2:$E$45</c:f>
              <c:numCache>
                <c:formatCode>General</c:formatCode>
                <c:ptCount val="44"/>
                <c:pt idx="0">
                  <c:v>19.425000000000001</c:v>
                </c:pt>
                <c:pt idx="1">
                  <c:v>22.335999999999999</c:v>
                </c:pt>
                <c:pt idx="2">
                  <c:v>27.882999999999999</c:v>
                </c:pt>
                <c:pt idx="3">
                  <c:v>31.175000000000001</c:v>
                </c:pt>
                <c:pt idx="4">
                  <c:v>34.552</c:v>
                </c:pt>
                <c:pt idx="5">
                  <c:v>42.814999999999998</c:v>
                </c:pt>
                <c:pt idx="6">
                  <c:v>69.325999999999993</c:v>
                </c:pt>
                <c:pt idx="7">
                  <c:v>112.19799999999999</c:v>
                </c:pt>
                <c:pt idx="8">
                  <c:v>206.95099999999999</c:v>
                </c:pt>
                <c:pt idx="9">
                  <c:v>630.64800000000002</c:v>
                </c:pt>
                <c:pt idx="10" formatCode="0.000">
                  <c:v>32.024951354999999</c:v>
                </c:pt>
                <c:pt idx="11" formatCode="0.000">
                  <c:v>26.817586671000001</c:v>
                </c:pt>
                <c:pt idx="12" formatCode="0.000">
                  <c:v>24.489311222000001</c:v>
                </c:pt>
                <c:pt idx="13" formatCode="0.000">
                  <c:v>23.682722263999999</c:v>
                </c:pt>
                <c:pt idx="14" formatCode="0.000">
                  <c:v>23.723607868999999</c:v>
                </c:pt>
                <c:pt idx="15" formatCode="0.000">
                  <c:v>25.767813201999999</c:v>
                </c:pt>
                <c:pt idx="16" formatCode="0.000">
                  <c:v>32.165640330000002</c:v>
                </c:pt>
                <c:pt idx="17">
                  <c:v>14.840999999999999</c:v>
                </c:pt>
                <c:pt idx="18">
                  <c:v>15.569000000000001</c:v>
                </c:pt>
                <c:pt idx="19">
                  <c:v>16.405999999999999</c:v>
                </c:pt>
                <c:pt idx="20">
                  <c:v>16.824999999999999</c:v>
                </c:pt>
                <c:pt idx="21">
                  <c:v>17.079000000000001</c:v>
                </c:pt>
                <c:pt idx="22">
                  <c:v>19.059999999999999</c:v>
                </c:pt>
                <c:pt idx="23">
                  <c:v>26.38</c:v>
                </c:pt>
                <c:pt idx="24">
                  <c:v>12.000999999999999</c:v>
                </c:pt>
                <c:pt idx="25">
                  <c:v>12.997999999999999</c:v>
                </c:pt>
                <c:pt idx="26">
                  <c:v>14.117000000000001</c:v>
                </c:pt>
                <c:pt idx="27">
                  <c:v>15.038</c:v>
                </c:pt>
                <c:pt idx="28">
                  <c:v>15.535</c:v>
                </c:pt>
                <c:pt idx="29">
                  <c:v>16.922999999999998</c:v>
                </c:pt>
                <c:pt idx="30">
                  <c:v>20.968</c:v>
                </c:pt>
                <c:pt idx="31">
                  <c:v>45.960999999999999</c:v>
                </c:pt>
                <c:pt idx="32">
                  <c:v>95.792000000000002</c:v>
                </c:pt>
                <c:pt idx="33">
                  <c:v>334.26</c:v>
                </c:pt>
                <c:pt idx="34">
                  <c:v>21.04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Sheet1!$A$2:$A$45</c15:f>
                <c15:dlblRangeCache>
                  <c:ptCount val="44"/>
                  <c:pt idx="0">
                    <c:v>V0</c:v>
                  </c:pt>
                  <c:pt idx="1">
                    <c:v>V0</c:v>
                  </c:pt>
                  <c:pt idx="2">
                    <c:v>V0</c:v>
                  </c:pt>
                  <c:pt idx="3">
                    <c:v>V0</c:v>
                  </c:pt>
                  <c:pt idx="4">
                    <c:v>V0</c:v>
                  </c:pt>
                  <c:pt idx="5">
                    <c:v>V0</c:v>
                  </c:pt>
                  <c:pt idx="6">
                    <c:v>V0</c:v>
                  </c:pt>
                  <c:pt idx="7">
                    <c:v>V0</c:v>
                  </c:pt>
                  <c:pt idx="8">
                    <c:v>V0</c:v>
                  </c:pt>
                  <c:pt idx="9">
                    <c:v>V0</c:v>
                  </c:pt>
                  <c:pt idx="10">
                    <c:v>V2</c:v>
                  </c:pt>
                  <c:pt idx="11">
                    <c:v>V2</c:v>
                  </c:pt>
                  <c:pt idx="12">
                    <c:v>V2</c:v>
                  </c:pt>
                  <c:pt idx="13">
                    <c:v>V2</c:v>
                  </c:pt>
                  <c:pt idx="14">
                    <c:v>V2</c:v>
                  </c:pt>
                  <c:pt idx="15">
                    <c:v>V2</c:v>
                  </c:pt>
                  <c:pt idx="16">
                    <c:v>V2</c:v>
                  </c:pt>
                  <c:pt idx="17">
                    <c:v>V3</c:v>
                  </c:pt>
                  <c:pt idx="18">
                    <c:v>V3</c:v>
                  </c:pt>
                  <c:pt idx="19">
                    <c:v>V3</c:v>
                  </c:pt>
                  <c:pt idx="20">
                    <c:v>V3</c:v>
                  </c:pt>
                  <c:pt idx="21">
                    <c:v>V3</c:v>
                  </c:pt>
                  <c:pt idx="22">
                    <c:v>V3</c:v>
                  </c:pt>
                  <c:pt idx="23">
                    <c:v>V3</c:v>
                  </c:pt>
                  <c:pt idx="24">
                    <c:v>V4</c:v>
                  </c:pt>
                  <c:pt idx="25">
                    <c:v>V4</c:v>
                  </c:pt>
                  <c:pt idx="26">
                    <c:v>V4</c:v>
                  </c:pt>
                  <c:pt idx="27">
                    <c:v>V4</c:v>
                  </c:pt>
                  <c:pt idx="28">
                    <c:v>V4</c:v>
                  </c:pt>
                  <c:pt idx="29">
                    <c:v>V4</c:v>
                  </c:pt>
                  <c:pt idx="30">
                    <c:v>V4</c:v>
                  </c:pt>
                  <c:pt idx="31">
                    <c:v>V4</c:v>
                  </c:pt>
                  <c:pt idx="32">
                    <c:v>V4</c:v>
                  </c:pt>
                  <c:pt idx="33">
                    <c:v>V4</c:v>
                  </c:pt>
                  <c:pt idx="34">
                    <c:v>V5</c:v>
                  </c:pt>
                  <c:pt idx="35">
                    <c:v>V5</c:v>
                  </c:pt>
                  <c:pt idx="36">
                    <c:v>V5</c:v>
                  </c:pt>
                  <c:pt idx="37">
                    <c:v>V5</c:v>
                  </c:pt>
                  <c:pt idx="38">
                    <c:v>V5</c:v>
                  </c:pt>
                  <c:pt idx="39">
                    <c:v>V5</c:v>
                  </c:pt>
                  <c:pt idx="40">
                    <c:v>V5</c:v>
                  </c:pt>
                  <c:pt idx="41">
                    <c:v>V5</c:v>
                  </c:pt>
                  <c:pt idx="42">
                    <c:v>V5</c:v>
                  </c:pt>
                  <c:pt idx="43">
                    <c:v>V5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8-9B76-403C-9A6A-0AFF9DDE23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2166047"/>
        <c:axId val="642166527"/>
      </c:scatterChart>
      <c:valAx>
        <c:axId val="642166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Ressource Usage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42166527"/>
        <c:crosses val="autoZero"/>
        <c:crossBetween val="midCat"/>
      </c:valAx>
      <c:valAx>
        <c:axId val="642166527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Latency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42166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 sz="1400" b="0" i="0" u="none" strike="noStrike" baseline="0"/>
              <a:t>Latency vs Resolution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Time tot (s)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D89DB85C-1798-419C-99C6-96953FE55901}" type="CELLRANGE">
                      <a:rPr lang="en-US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F3C7-46D6-B496-FAAC03668AA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49E0978-9978-4AA0-A6A6-D58886C173E0}" type="CELLRANGE">
                      <a:rPr lang="fr-CH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3C7-46D6-B496-FAAC03668AA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C10DD07-5CE8-4FDB-A416-BCC45C7A98E0}" type="CELLRANGE">
                      <a:rPr lang="fr-CH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3C7-46D6-B496-FAAC03668AA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AE59A49-8D2D-4C84-AE5A-1F80592F42AB}" type="CELLRANGE">
                      <a:rPr lang="fr-CH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3C7-46D6-B496-FAAC03668AA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5D02C2D-70D1-45F2-AE9A-2AFD8C8C5A1A}" type="CELLRANGE">
                      <a:rPr lang="fr-CH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3C7-46D6-B496-FAAC03668AA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C626C02-1702-429E-B99A-D0FD8A521006}" type="CELLRANGE">
                      <a:rPr lang="fr-CH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3C7-46D6-B496-FAAC03668AA8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F4914F5-2D58-4913-870F-D197ADDF5585}" type="CELLRANGE">
                      <a:rPr lang="fr-CH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3C7-46D6-B496-FAAC03668AA8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DEECFA08-87B5-486C-9EE1-9850E14961A6}" type="CELLRANGE">
                      <a:rPr lang="fr-CH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3C7-46D6-B496-FAAC03668AA8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0B7302C7-4507-42F2-9570-5D95FF390CF8}" type="CELLRANGE">
                      <a:rPr lang="fr-CH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3C7-46D6-B496-FAAC03668AA8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15DC02AC-6D5E-4099-B704-6F141CCA4E62}" type="CELLRANGE">
                      <a:rPr lang="fr-CH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3C7-46D6-B496-FAAC03668AA8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B8B3792A-38A5-4FA5-A481-95B0E88D4D0C}" type="CELLRANGE">
                      <a:rPr lang="fr-CH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F3C7-46D6-B496-FAAC03668AA8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1F3ED3A1-EF9D-49B4-BD1B-3A57286DDE05}" type="CELLRANGE">
                      <a:rPr lang="fr-CH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3C7-46D6-B496-FAAC03668AA8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43826B93-2263-4F67-845C-004CAA0CF22B}" type="CELLRANGE">
                      <a:rPr lang="fr-CH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F3C7-46D6-B496-FAAC03668AA8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983D0F5F-300A-4681-A61F-C43388DE86FB}" type="CELLRANGE">
                      <a:rPr lang="fr-CH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F3C7-46D6-B496-FAAC03668AA8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5F5C3EF7-0E86-47F5-BCC2-A0667DEB3D77}" type="CELLRANGE">
                      <a:rPr lang="fr-CH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F3C7-46D6-B496-FAAC03668AA8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C8F8627E-51E4-411C-8782-6E3A4EC53CCB}" type="CELLRANGE">
                      <a:rPr lang="fr-CH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F3C7-46D6-B496-FAAC03668AA8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25A53E9F-08D3-47FC-884D-B9737EA4B731}" type="CELLRANGE">
                      <a:rPr lang="fr-CH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F3C7-46D6-B496-FAAC03668AA8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9A181693-0C84-4859-A559-47B2ECC6B33A}" type="CELLRANGE">
                      <a:rPr lang="fr-CH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F3C7-46D6-B496-FAAC03668AA8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585187AE-8AF0-4A05-A664-18F3EAD346E8}" type="CELLRANGE">
                      <a:rPr lang="fr-CH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F3C7-46D6-B496-FAAC03668AA8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5731A173-F59B-49E8-9EA7-9EC7F1B87843}" type="CELLRANGE">
                      <a:rPr lang="fr-CH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F3C7-46D6-B496-FAAC03668AA8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F014C021-4E5B-45A6-8F17-2B68798B51DD}" type="CELLRANGE">
                      <a:rPr lang="fr-CH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F3C7-46D6-B496-FAAC03668AA8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B0BF8D37-5A07-4DBF-8C5C-1968E31F8789}" type="CELLRANGE">
                      <a:rPr lang="fr-CH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F3C7-46D6-B496-FAAC03668AA8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0728D2B1-D317-4938-B8A8-D62C08391EF9}" type="CELLRANGE">
                      <a:rPr lang="fr-CH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F3C7-46D6-B496-FAAC03668AA8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4B4694DF-AB28-4F4A-868A-5C89DD34E32C}" type="CELLRANGE">
                      <a:rPr lang="fr-CH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F3C7-46D6-B496-FAAC03668AA8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F182E944-CFE3-4C90-BC44-7425318AB0F9}" type="CELLRANGE">
                      <a:rPr lang="fr-CH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F3C7-46D6-B496-FAAC03668AA8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B4AF6BBE-A886-45AF-B0CA-97A0DA5CD901}" type="CELLRANGE">
                      <a:rPr lang="fr-CH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F3C7-46D6-B496-FAAC03668AA8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21A56E2C-B86C-4841-8B03-E7C476B724B3}" type="CELLRANGE">
                      <a:rPr lang="fr-CH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F3C7-46D6-B496-FAAC03668AA8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DBD4281F-2595-4A37-A781-240CA2C4F8F0}" type="CELLRANGE">
                      <a:rPr lang="fr-CH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F3C7-46D6-B496-FAAC03668AA8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FA093B4B-E92E-48AB-B4E6-296206576B9E}" type="CELLRANGE">
                      <a:rPr lang="fr-CH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F3C7-46D6-B496-FAAC03668AA8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51A192EB-9FC4-4C49-B81D-78E4DC6443FF}" type="CELLRANGE">
                      <a:rPr lang="fr-CH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F3C7-46D6-B496-FAAC03668AA8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2D504DEB-0CFD-41F3-9DED-0918E9BAC80D}" type="CELLRANGE">
                      <a:rPr lang="fr-CH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F3C7-46D6-B496-FAAC03668AA8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6457158A-72E4-4D95-9DA1-FB33D2E344F8}" type="CELLRANGE">
                      <a:rPr lang="fr-CH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F3C7-46D6-B496-FAAC03668AA8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E2D6DFF1-51D3-40C1-B886-52115018C23D}" type="CELLRANGE">
                      <a:rPr lang="fr-CH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F3C7-46D6-B496-FAAC03668AA8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8522BC34-881D-4823-83B1-B29DC90841A2}" type="CELLRANGE">
                      <a:rPr lang="fr-CH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F3C7-46D6-B496-FAAC03668AA8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4FF15D81-A91E-4E6B-9E5C-612667175C57}" type="CELLRANGE">
                      <a:rPr lang="fr-CH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F3C7-46D6-B496-FAAC03668AA8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F3C7-46D6-B496-FAAC03668AA8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F3C7-46D6-B496-FAAC03668AA8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F3C7-46D6-B496-FAAC03668AA8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F3C7-46D6-B496-FAAC03668AA8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F3C7-46D6-B496-FAAC03668AA8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F3C7-46D6-B496-FAAC03668AA8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F3C7-46D6-B496-FAAC03668AA8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F3C7-46D6-B496-FAAC03668AA8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F3C7-46D6-B496-FAAC03668AA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Sheet1!$O$2:$O$45</c:f>
              <c:numCache>
                <c:formatCode>0.00</c:formatCode>
                <c:ptCount val="44"/>
                <c:pt idx="0">
                  <c:v>128.4</c:v>
                </c:pt>
                <c:pt idx="1">
                  <c:v>130.80000000000001</c:v>
                </c:pt>
                <c:pt idx="2">
                  <c:v>131.59800000000001</c:v>
                </c:pt>
                <c:pt idx="3">
                  <c:v>134.19999999999999</c:v>
                </c:pt>
                <c:pt idx="4">
                  <c:v>127</c:v>
                </c:pt>
                <c:pt idx="5">
                  <c:v>126.9</c:v>
                </c:pt>
                <c:pt idx="6">
                  <c:v>136.4</c:v>
                </c:pt>
                <c:pt idx="7">
                  <c:v>123</c:v>
                </c:pt>
                <c:pt idx="8">
                  <c:v>119.7</c:v>
                </c:pt>
                <c:pt idx="9">
                  <c:v>126.3</c:v>
                </c:pt>
                <c:pt idx="10">
                  <c:v>135.024</c:v>
                </c:pt>
                <c:pt idx="11">
                  <c:v>128.27099999999999</c:v>
                </c:pt>
                <c:pt idx="12">
                  <c:v>113.274</c:v>
                </c:pt>
                <c:pt idx="13">
                  <c:v>119.509</c:v>
                </c:pt>
                <c:pt idx="14">
                  <c:v>113.536</c:v>
                </c:pt>
                <c:pt idx="15">
                  <c:v>110.611</c:v>
                </c:pt>
                <c:pt idx="16">
                  <c:v>108.286</c:v>
                </c:pt>
                <c:pt idx="17">
                  <c:v>135.024</c:v>
                </c:pt>
                <c:pt idx="18">
                  <c:v>128.27099999999999</c:v>
                </c:pt>
                <c:pt idx="19">
                  <c:v>113.274</c:v>
                </c:pt>
                <c:pt idx="20">
                  <c:v>119.509</c:v>
                </c:pt>
                <c:pt idx="21">
                  <c:v>113.536</c:v>
                </c:pt>
                <c:pt idx="22">
                  <c:v>110.611</c:v>
                </c:pt>
                <c:pt idx="23">
                  <c:v>108.286</c:v>
                </c:pt>
                <c:pt idx="24">
                  <c:v>130.23400000000001</c:v>
                </c:pt>
                <c:pt idx="25">
                  <c:v>130.10499999999999</c:v>
                </c:pt>
                <c:pt idx="26">
                  <c:v>117.086</c:v>
                </c:pt>
                <c:pt idx="27">
                  <c:v>123.342</c:v>
                </c:pt>
                <c:pt idx="28">
                  <c:v>108.86199999999999</c:v>
                </c:pt>
                <c:pt idx="29">
                  <c:v>107.104</c:v>
                </c:pt>
                <c:pt idx="30">
                  <c:v>110.726</c:v>
                </c:pt>
                <c:pt idx="31">
                  <c:v>96.889799999999994</c:v>
                </c:pt>
                <c:pt idx="32">
                  <c:v>93.173500000000004</c:v>
                </c:pt>
                <c:pt idx="33">
                  <c:v>95.182400000000001</c:v>
                </c:pt>
                <c:pt idx="34">
                  <c:v>127.601</c:v>
                </c:pt>
              </c:numCache>
            </c:numRef>
          </c:xVal>
          <c:yVal>
            <c:numRef>
              <c:f>Sheet1!$E$2:$E$45</c:f>
              <c:numCache>
                <c:formatCode>General</c:formatCode>
                <c:ptCount val="44"/>
                <c:pt idx="0">
                  <c:v>19.425000000000001</c:v>
                </c:pt>
                <c:pt idx="1">
                  <c:v>22.335999999999999</c:v>
                </c:pt>
                <c:pt idx="2">
                  <c:v>27.882999999999999</c:v>
                </c:pt>
                <c:pt idx="3">
                  <c:v>31.175000000000001</c:v>
                </c:pt>
                <c:pt idx="4">
                  <c:v>34.552</c:v>
                </c:pt>
                <c:pt idx="5">
                  <c:v>42.814999999999998</c:v>
                </c:pt>
                <c:pt idx="6">
                  <c:v>69.325999999999993</c:v>
                </c:pt>
                <c:pt idx="7">
                  <c:v>112.19799999999999</c:v>
                </c:pt>
                <c:pt idx="8">
                  <c:v>206.95099999999999</c:v>
                </c:pt>
                <c:pt idx="9">
                  <c:v>630.64800000000002</c:v>
                </c:pt>
                <c:pt idx="10" formatCode="0.000">
                  <c:v>32.024951354999999</c:v>
                </c:pt>
                <c:pt idx="11" formatCode="0.000">
                  <c:v>26.817586671000001</c:v>
                </c:pt>
                <c:pt idx="12" formatCode="0.000">
                  <c:v>24.489311222000001</c:v>
                </c:pt>
                <c:pt idx="13" formatCode="0.000">
                  <c:v>23.682722263999999</c:v>
                </c:pt>
                <c:pt idx="14" formatCode="0.000">
                  <c:v>23.723607868999999</c:v>
                </c:pt>
                <c:pt idx="15" formatCode="0.000">
                  <c:v>25.767813201999999</c:v>
                </c:pt>
                <c:pt idx="16" formatCode="0.000">
                  <c:v>32.165640330000002</c:v>
                </c:pt>
                <c:pt idx="17">
                  <c:v>14.840999999999999</c:v>
                </c:pt>
                <c:pt idx="18">
                  <c:v>15.569000000000001</c:v>
                </c:pt>
                <c:pt idx="19">
                  <c:v>16.405999999999999</c:v>
                </c:pt>
                <c:pt idx="20">
                  <c:v>16.824999999999999</c:v>
                </c:pt>
                <c:pt idx="21">
                  <c:v>17.079000000000001</c:v>
                </c:pt>
                <c:pt idx="22">
                  <c:v>19.059999999999999</c:v>
                </c:pt>
                <c:pt idx="23">
                  <c:v>26.38</c:v>
                </c:pt>
                <c:pt idx="24">
                  <c:v>12.000999999999999</c:v>
                </c:pt>
                <c:pt idx="25">
                  <c:v>12.997999999999999</c:v>
                </c:pt>
                <c:pt idx="26">
                  <c:v>14.117000000000001</c:v>
                </c:pt>
                <c:pt idx="27">
                  <c:v>15.038</c:v>
                </c:pt>
                <c:pt idx="28">
                  <c:v>15.535</c:v>
                </c:pt>
                <c:pt idx="29">
                  <c:v>16.922999999999998</c:v>
                </c:pt>
                <c:pt idx="30">
                  <c:v>20.968</c:v>
                </c:pt>
                <c:pt idx="31">
                  <c:v>45.960999999999999</c:v>
                </c:pt>
                <c:pt idx="32">
                  <c:v>95.792000000000002</c:v>
                </c:pt>
                <c:pt idx="33">
                  <c:v>334.26</c:v>
                </c:pt>
                <c:pt idx="34">
                  <c:v>21.04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Sheet1!$A$2:$A$45</c15:f>
                <c15:dlblRangeCache>
                  <c:ptCount val="44"/>
                  <c:pt idx="0">
                    <c:v>V0</c:v>
                  </c:pt>
                  <c:pt idx="1">
                    <c:v>V0</c:v>
                  </c:pt>
                  <c:pt idx="2">
                    <c:v>V0</c:v>
                  </c:pt>
                  <c:pt idx="3">
                    <c:v>V0</c:v>
                  </c:pt>
                  <c:pt idx="4">
                    <c:v>V0</c:v>
                  </c:pt>
                  <c:pt idx="5">
                    <c:v>V0</c:v>
                  </c:pt>
                  <c:pt idx="6">
                    <c:v>V0</c:v>
                  </c:pt>
                  <c:pt idx="7">
                    <c:v>V0</c:v>
                  </c:pt>
                  <c:pt idx="8">
                    <c:v>V0</c:v>
                  </c:pt>
                  <c:pt idx="9">
                    <c:v>V0</c:v>
                  </c:pt>
                  <c:pt idx="10">
                    <c:v>V2</c:v>
                  </c:pt>
                  <c:pt idx="11">
                    <c:v>V2</c:v>
                  </c:pt>
                  <c:pt idx="12">
                    <c:v>V2</c:v>
                  </c:pt>
                  <c:pt idx="13">
                    <c:v>V2</c:v>
                  </c:pt>
                  <c:pt idx="14">
                    <c:v>V2</c:v>
                  </c:pt>
                  <c:pt idx="15">
                    <c:v>V2</c:v>
                  </c:pt>
                  <c:pt idx="16">
                    <c:v>V2</c:v>
                  </c:pt>
                  <c:pt idx="17">
                    <c:v>V3</c:v>
                  </c:pt>
                  <c:pt idx="18">
                    <c:v>V3</c:v>
                  </c:pt>
                  <c:pt idx="19">
                    <c:v>V3</c:v>
                  </c:pt>
                  <c:pt idx="20">
                    <c:v>V3</c:v>
                  </c:pt>
                  <c:pt idx="21">
                    <c:v>V3</c:v>
                  </c:pt>
                  <c:pt idx="22">
                    <c:v>V3</c:v>
                  </c:pt>
                  <c:pt idx="23">
                    <c:v>V3</c:v>
                  </c:pt>
                  <c:pt idx="24">
                    <c:v>V4</c:v>
                  </c:pt>
                  <c:pt idx="25">
                    <c:v>V4</c:v>
                  </c:pt>
                  <c:pt idx="26">
                    <c:v>V4</c:v>
                  </c:pt>
                  <c:pt idx="27">
                    <c:v>V4</c:v>
                  </c:pt>
                  <c:pt idx="28">
                    <c:v>V4</c:v>
                  </c:pt>
                  <c:pt idx="29">
                    <c:v>V4</c:v>
                  </c:pt>
                  <c:pt idx="30">
                    <c:v>V4</c:v>
                  </c:pt>
                  <c:pt idx="31">
                    <c:v>V4</c:v>
                  </c:pt>
                  <c:pt idx="32">
                    <c:v>V4</c:v>
                  </c:pt>
                  <c:pt idx="33">
                    <c:v>V4</c:v>
                  </c:pt>
                  <c:pt idx="34">
                    <c:v>V5</c:v>
                  </c:pt>
                  <c:pt idx="35">
                    <c:v>V5</c:v>
                  </c:pt>
                  <c:pt idx="36">
                    <c:v>V5</c:v>
                  </c:pt>
                  <c:pt idx="37">
                    <c:v>V5</c:v>
                  </c:pt>
                  <c:pt idx="38">
                    <c:v>V5</c:v>
                  </c:pt>
                  <c:pt idx="39">
                    <c:v>V5</c:v>
                  </c:pt>
                  <c:pt idx="40">
                    <c:v>V5</c:v>
                  </c:pt>
                  <c:pt idx="41">
                    <c:v>V5</c:v>
                  </c:pt>
                  <c:pt idx="42">
                    <c:v>V5</c:v>
                  </c:pt>
                  <c:pt idx="43">
                    <c:v>V5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C-F3C7-46D6-B496-FAAC03668A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2166047"/>
        <c:axId val="642166527"/>
      </c:scatterChart>
      <c:valAx>
        <c:axId val="642166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SNR (dB)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42166527"/>
        <c:crosses val="autoZero"/>
        <c:crossBetween val="midCat"/>
      </c:valAx>
      <c:valAx>
        <c:axId val="642166527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Latency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42166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 sz="1400" b="0" i="0" u="none" strike="noStrike" baseline="0"/>
              <a:t>Energy vs Resolution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81908180390941"/>
          <c:y val="0.12632673761506744"/>
          <c:w val="0.84018474307448132"/>
          <c:h val="0.75565033303146545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Time tot (s)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809F5ABA-1857-44D8-8CAE-4C349547D918}" type="CELLRANGE">
                      <a:rPr lang="en-US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60EA-46F4-AD5B-7B583019524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5910B83-17D5-4D4B-B4EE-1FC2C9238C88}" type="CELLRANGE">
                      <a:rPr lang="en-US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60EA-46F4-AD5B-7B583019524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1D084A5-53C4-4347-B1FE-8BECA654E796}" type="CELLRANGE">
                      <a:rPr lang="en-US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60EA-46F4-AD5B-7B583019524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EAAFAD9-BB65-4D77-A94F-C0E54C908AEF}" type="CELLRANGE">
                      <a:rPr lang="en-US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60EA-46F4-AD5B-7B583019524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9E27F86-AD8E-4060-B2E3-4D1210D853F9}" type="CELLRANGE">
                      <a:rPr lang="en-US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60EA-46F4-AD5B-7B583019524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B3B5A28-1621-45C0-AC0C-9C3A399ABFFB}" type="CELLRANGE">
                      <a:rPr lang="en-US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60EA-46F4-AD5B-7B583019524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68987B9C-AB5E-4916-87F7-2447FF5F99EE}" type="CELLRANGE">
                      <a:rPr lang="en-US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60EA-46F4-AD5B-7B583019524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76802253-CCFD-428C-9757-116245ED4A9E}" type="CELLRANGE">
                      <a:rPr lang="en-US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60EA-46F4-AD5B-7B583019524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7D1BBE8F-8C14-4AF1-AFB5-299ACA2A8F75}" type="CELLRANGE">
                      <a:rPr lang="en-US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60EA-46F4-AD5B-7B583019524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FC82247E-96AA-4D8A-9F7F-186062EE5BCA}" type="CELLRANGE">
                      <a:rPr lang="en-US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60EA-46F4-AD5B-7B583019524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7AF5F497-EB54-458B-A704-2162ABB66744}" type="CELLRANGE">
                      <a:rPr lang="en-US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60EA-46F4-AD5B-7B583019524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63999129-D9C8-425A-A467-1610789E5BD5}" type="CELLRANGE">
                      <a:rPr lang="en-US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60EA-46F4-AD5B-7B583019524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2CCE210F-14FB-4AA6-A441-F9A9475A4B4D}" type="CELLRANGE">
                      <a:rPr lang="en-US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60EA-46F4-AD5B-7B583019524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91741DD6-008A-4325-88BE-F2BA2EEFFDFE}" type="CELLRANGE">
                      <a:rPr lang="en-US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60EA-46F4-AD5B-7B583019524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3A4FA864-C1C5-447F-9E26-F795414CB924}" type="CELLRANGE">
                      <a:rPr lang="en-US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60EA-46F4-AD5B-7B5830195240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4EE021AD-8B6A-499D-AED6-A2F2AF837C25}" type="CELLRANGE">
                      <a:rPr lang="en-US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60EA-46F4-AD5B-7B5830195240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271E3CD7-25C7-482D-9159-4C28D7430520}" type="CELLRANGE">
                      <a:rPr lang="en-US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60EA-46F4-AD5B-7B5830195240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B8825AB1-0E88-444B-BA45-6D70F8A0CE9D}" type="CELLRANGE">
                      <a:rPr lang="en-US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60EA-46F4-AD5B-7B5830195240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C4219BA0-4581-46F3-BB86-E28F6E374270}" type="CELLRANGE">
                      <a:rPr lang="en-US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60EA-46F4-AD5B-7B5830195240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7B4A8E06-934C-4B41-B1DE-E4A90A3D2BD5}" type="CELLRANGE">
                      <a:rPr lang="en-US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60EA-46F4-AD5B-7B5830195240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9CCC9BE8-3F43-4CBB-86B3-66618B8F5C0C}" type="CELLRANGE">
                      <a:rPr lang="en-US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60EA-46F4-AD5B-7B5830195240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76E8DF31-2EA3-487C-BC1E-0B71E50D6B5C}" type="CELLRANGE">
                      <a:rPr lang="en-US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60EA-46F4-AD5B-7B5830195240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5E420FE5-FE4D-4811-96EE-8AC4EB325865}" type="CELLRANGE">
                      <a:rPr lang="en-US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60EA-46F4-AD5B-7B5830195240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3A1F3DD4-D923-4AF4-85D7-8AD7648BDEA5}" type="CELLRANGE">
                      <a:rPr lang="en-US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60EA-46F4-AD5B-7B5830195240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21589CA3-768F-4356-BC1B-A06BCA2F8AC1}" type="CELLRANGE">
                      <a:rPr lang="en-US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60EA-46F4-AD5B-7B5830195240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2749CFD2-4092-4C12-9660-1D6782550AD4}" type="CELLRANGE">
                      <a:rPr lang="en-US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60EA-46F4-AD5B-7B5830195240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A52F4DB3-9332-4167-8F32-A37B7B9CFBE4}" type="CELLRANGE">
                      <a:rPr lang="en-US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60EA-46F4-AD5B-7B5830195240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298E4C0E-9DF0-4A91-8591-0443BD9E8C35}" type="CELLRANGE">
                      <a:rPr lang="en-US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60EA-46F4-AD5B-7B5830195240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0C003FB0-6D47-4A09-8CDB-7530A5CDF057}" type="CELLRANGE">
                      <a:rPr lang="en-US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60EA-46F4-AD5B-7B5830195240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E0698740-D8AF-4B9C-A4D4-B0301BD5ACC9}" type="CELLRANGE">
                      <a:rPr lang="en-US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60EA-46F4-AD5B-7B5830195240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FA8CF2B1-CB6E-4599-86B5-EC7DD084CE30}" type="CELLRANGE">
                      <a:rPr lang="en-US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60EA-46F4-AD5B-7B5830195240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9F2EA02A-8242-4361-B9A6-E9AF87ABB3C2}" type="CELLRANGE">
                      <a:rPr lang="en-US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60EA-46F4-AD5B-7B5830195240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8A6C53B7-91B3-4B59-B59D-36E732C673C9}" type="CELLRANGE">
                      <a:rPr lang="en-US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60EA-46F4-AD5B-7B5830195240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407BA27F-AD0D-4AB8-B1F4-B8038DE7C6B7}" type="CELLRANGE">
                      <a:rPr lang="en-US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60EA-46F4-AD5B-7B5830195240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D9863BCB-628F-4F8B-A95C-674FED998AD8}" type="CELLRANGE">
                      <a:rPr lang="en-US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60EA-46F4-AD5B-7B5830195240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60EA-46F4-AD5B-7B5830195240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60EA-46F4-AD5B-7B5830195240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60EA-46F4-AD5B-7B5830195240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60EA-46F4-AD5B-7B5830195240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60EA-46F4-AD5B-7B5830195240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60EA-46F4-AD5B-7B5830195240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60EA-46F4-AD5B-7B5830195240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60EA-46F4-AD5B-7B5830195240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60EA-46F4-AD5B-7B58301952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Sheet1!$O$2:$O$45</c:f>
              <c:numCache>
                <c:formatCode>0.00</c:formatCode>
                <c:ptCount val="44"/>
                <c:pt idx="0">
                  <c:v>128.4</c:v>
                </c:pt>
                <c:pt idx="1">
                  <c:v>130.80000000000001</c:v>
                </c:pt>
                <c:pt idx="2">
                  <c:v>131.59800000000001</c:v>
                </c:pt>
                <c:pt idx="3">
                  <c:v>134.19999999999999</c:v>
                </c:pt>
                <c:pt idx="4">
                  <c:v>127</c:v>
                </c:pt>
                <c:pt idx="5">
                  <c:v>126.9</c:v>
                </c:pt>
                <c:pt idx="6">
                  <c:v>136.4</c:v>
                </c:pt>
                <c:pt idx="7">
                  <c:v>123</c:v>
                </c:pt>
                <c:pt idx="8">
                  <c:v>119.7</c:v>
                </c:pt>
                <c:pt idx="9">
                  <c:v>126.3</c:v>
                </c:pt>
                <c:pt idx="10">
                  <c:v>135.024</c:v>
                </c:pt>
                <c:pt idx="11">
                  <c:v>128.27099999999999</c:v>
                </c:pt>
                <c:pt idx="12">
                  <c:v>113.274</c:v>
                </c:pt>
                <c:pt idx="13">
                  <c:v>119.509</c:v>
                </c:pt>
                <c:pt idx="14">
                  <c:v>113.536</c:v>
                </c:pt>
                <c:pt idx="15">
                  <c:v>110.611</c:v>
                </c:pt>
                <c:pt idx="16">
                  <c:v>108.286</c:v>
                </c:pt>
                <c:pt idx="17">
                  <c:v>135.024</c:v>
                </c:pt>
                <c:pt idx="18">
                  <c:v>128.27099999999999</c:v>
                </c:pt>
                <c:pt idx="19">
                  <c:v>113.274</c:v>
                </c:pt>
                <c:pt idx="20">
                  <c:v>119.509</c:v>
                </c:pt>
                <c:pt idx="21">
                  <c:v>113.536</c:v>
                </c:pt>
                <c:pt idx="22">
                  <c:v>110.611</c:v>
                </c:pt>
                <c:pt idx="23">
                  <c:v>108.286</c:v>
                </c:pt>
                <c:pt idx="24">
                  <c:v>130.23400000000001</c:v>
                </c:pt>
                <c:pt idx="25">
                  <c:v>130.10499999999999</c:v>
                </c:pt>
                <c:pt idx="26">
                  <c:v>117.086</c:v>
                </c:pt>
                <c:pt idx="27">
                  <c:v>123.342</c:v>
                </c:pt>
                <c:pt idx="28">
                  <c:v>108.86199999999999</c:v>
                </c:pt>
                <c:pt idx="29">
                  <c:v>107.104</c:v>
                </c:pt>
                <c:pt idx="30">
                  <c:v>110.726</c:v>
                </c:pt>
                <c:pt idx="31">
                  <c:v>96.889799999999994</c:v>
                </c:pt>
                <c:pt idx="32">
                  <c:v>93.173500000000004</c:v>
                </c:pt>
                <c:pt idx="33">
                  <c:v>95.182400000000001</c:v>
                </c:pt>
                <c:pt idx="34">
                  <c:v>127.601</c:v>
                </c:pt>
              </c:numCache>
            </c:numRef>
          </c:xVal>
          <c:yVal>
            <c:numRef>
              <c:f>Sheet1!$N$2:$N$45</c:f>
              <c:numCache>
                <c:formatCode>0.00</c:formatCode>
                <c:ptCount val="44"/>
                <c:pt idx="0">
                  <c:v>37.392000000000003</c:v>
                </c:pt>
                <c:pt idx="1">
                  <c:v>43.304000000000002</c:v>
                </c:pt>
                <c:pt idx="2">
                  <c:v>56.664999999999999</c:v>
                </c:pt>
                <c:pt idx="3">
                  <c:v>63.683999999999997</c:v>
                </c:pt>
                <c:pt idx="4">
                  <c:v>71.212000000000003</c:v>
                </c:pt>
                <c:pt idx="5">
                  <c:v>90.314999999999998</c:v>
                </c:pt>
                <c:pt idx="6">
                  <c:v>149.001</c:v>
                </c:pt>
                <c:pt idx="7">
                  <c:v>235.39500000000001</c:v>
                </c:pt>
                <c:pt idx="8">
                  <c:v>416.36900000000003</c:v>
                </c:pt>
                <c:pt idx="9">
                  <c:v>1231.2719999999999</c:v>
                </c:pt>
                <c:pt idx="10">
                  <c:v>61.93</c:v>
                </c:pt>
                <c:pt idx="11">
                  <c:v>52.107999999999997</c:v>
                </c:pt>
                <c:pt idx="12">
                  <c:v>48.563000000000002</c:v>
                </c:pt>
                <c:pt idx="13">
                  <c:v>47.531999999999996</c:v>
                </c:pt>
                <c:pt idx="14">
                  <c:v>48.447000000000003</c:v>
                </c:pt>
                <c:pt idx="15">
                  <c:v>52.566000000000003</c:v>
                </c:pt>
                <c:pt idx="16">
                  <c:v>66.212000000000003</c:v>
                </c:pt>
                <c:pt idx="17">
                  <c:v>28.161999999999999</c:v>
                </c:pt>
                <c:pt idx="18">
                  <c:v>30.097000000000001</c:v>
                </c:pt>
                <c:pt idx="19">
                  <c:v>32.622999999999998</c:v>
                </c:pt>
                <c:pt idx="20">
                  <c:v>33.844000000000001</c:v>
                </c:pt>
                <c:pt idx="21">
                  <c:v>35.256999999999998</c:v>
                </c:pt>
                <c:pt idx="22">
                  <c:v>39.372</c:v>
                </c:pt>
                <c:pt idx="23">
                  <c:v>54.058</c:v>
                </c:pt>
                <c:pt idx="24">
                  <c:v>22.771000000000001</c:v>
                </c:pt>
                <c:pt idx="25">
                  <c:v>24.9</c:v>
                </c:pt>
                <c:pt idx="26">
                  <c:v>27.373999999999999</c:v>
                </c:pt>
                <c:pt idx="27">
                  <c:v>30.077999999999999</c:v>
                </c:pt>
                <c:pt idx="28">
                  <c:v>31.530999999999999</c:v>
                </c:pt>
                <c:pt idx="29">
                  <c:v>34.537999999999997</c:v>
                </c:pt>
                <c:pt idx="30">
                  <c:v>42.636000000000003</c:v>
                </c:pt>
                <c:pt idx="31">
                  <c:v>91.412000000000006</c:v>
                </c:pt>
                <c:pt idx="32">
                  <c:v>185.77199999999999</c:v>
                </c:pt>
                <c:pt idx="33">
                  <c:v>638.69799999999998</c:v>
                </c:pt>
                <c:pt idx="34">
                  <c:v>35.823999999999998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Sheet1!$A$2:$A$45</c15:f>
                <c15:dlblRangeCache>
                  <c:ptCount val="44"/>
                  <c:pt idx="0">
                    <c:v>V0</c:v>
                  </c:pt>
                  <c:pt idx="1">
                    <c:v>V0</c:v>
                  </c:pt>
                  <c:pt idx="2">
                    <c:v>V0</c:v>
                  </c:pt>
                  <c:pt idx="3">
                    <c:v>V0</c:v>
                  </c:pt>
                  <c:pt idx="4">
                    <c:v>V0</c:v>
                  </c:pt>
                  <c:pt idx="5">
                    <c:v>V0</c:v>
                  </c:pt>
                  <c:pt idx="6">
                    <c:v>V0</c:v>
                  </c:pt>
                  <c:pt idx="7">
                    <c:v>V0</c:v>
                  </c:pt>
                  <c:pt idx="8">
                    <c:v>V0</c:v>
                  </c:pt>
                  <c:pt idx="9">
                    <c:v>V0</c:v>
                  </c:pt>
                  <c:pt idx="10">
                    <c:v>V2</c:v>
                  </c:pt>
                  <c:pt idx="11">
                    <c:v>V2</c:v>
                  </c:pt>
                  <c:pt idx="12">
                    <c:v>V2</c:v>
                  </c:pt>
                  <c:pt idx="13">
                    <c:v>V2</c:v>
                  </c:pt>
                  <c:pt idx="14">
                    <c:v>V2</c:v>
                  </c:pt>
                  <c:pt idx="15">
                    <c:v>V2</c:v>
                  </c:pt>
                  <c:pt idx="16">
                    <c:v>V2</c:v>
                  </c:pt>
                  <c:pt idx="17">
                    <c:v>V3</c:v>
                  </c:pt>
                  <c:pt idx="18">
                    <c:v>V3</c:v>
                  </c:pt>
                  <c:pt idx="19">
                    <c:v>V3</c:v>
                  </c:pt>
                  <c:pt idx="20">
                    <c:v>V3</c:v>
                  </c:pt>
                  <c:pt idx="21">
                    <c:v>V3</c:v>
                  </c:pt>
                  <c:pt idx="22">
                    <c:v>V3</c:v>
                  </c:pt>
                  <c:pt idx="23">
                    <c:v>V3</c:v>
                  </c:pt>
                  <c:pt idx="24">
                    <c:v>V4</c:v>
                  </c:pt>
                  <c:pt idx="25">
                    <c:v>V4</c:v>
                  </c:pt>
                  <c:pt idx="26">
                    <c:v>V4</c:v>
                  </c:pt>
                  <c:pt idx="27">
                    <c:v>V4</c:v>
                  </c:pt>
                  <c:pt idx="28">
                    <c:v>V4</c:v>
                  </c:pt>
                  <c:pt idx="29">
                    <c:v>V4</c:v>
                  </c:pt>
                  <c:pt idx="30">
                    <c:v>V4</c:v>
                  </c:pt>
                  <c:pt idx="31">
                    <c:v>V4</c:v>
                  </c:pt>
                  <c:pt idx="32">
                    <c:v>V4</c:v>
                  </c:pt>
                  <c:pt idx="33">
                    <c:v>V4</c:v>
                  </c:pt>
                  <c:pt idx="34">
                    <c:v>V5</c:v>
                  </c:pt>
                  <c:pt idx="35">
                    <c:v>V5</c:v>
                  </c:pt>
                  <c:pt idx="36">
                    <c:v>V5</c:v>
                  </c:pt>
                  <c:pt idx="37">
                    <c:v>V5</c:v>
                  </c:pt>
                  <c:pt idx="38">
                    <c:v>V5</c:v>
                  </c:pt>
                  <c:pt idx="39">
                    <c:v>V5</c:v>
                  </c:pt>
                  <c:pt idx="40">
                    <c:v>V5</c:v>
                  </c:pt>
                  <c:pt idx="41">
                    <c:v>V5</c:v>
                  </c:pt>
                  <c:pt idx="42">
                    <c:v>V5</c:v>
                  </c:pt>
                  <c:pt idx="43">
                    <c:v>V5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C-60EA-46F4-AD5B-7B58301952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2166047"/>
        <c:axId val="642166527"/>
      </c:scatterChart>
      <c:valAx>
        <c:axId val="642166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Ressource Usage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42166527"/>
        <c:crosses val="autoZero"/>
        <c:crossBetween val="midCat"/>
      </c:valAx>
      <c:valAx>
        <c:axId val="642166527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Energy (J)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42166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152115</xdr:colOff>
      <xdr:row>0</xdr:row>
      <xdr:rowOff>69055</xdr:rowOff>
    </xdr:from>
    <xdr:to>
      <xdr:col>28</xdr:col>
      <xdr:colOff>49480</xdr:colOff>
      <xdr:row>23</xdr:row>
      <xdr:rowOff>54428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6A87BF9-56FE-0C8D-222E-262F9144A4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164885</xdr:colOff>
      <xdr:row>26</xdr:row>
      <xdr:rowOff>56830</xdr:rowOff>
    </xdr:from>
    <xdr:to>
      <xdr:col>27</xdr:col>
      <xdr:colOff>478194</xdr:colOff>
      <xdr:row>49</xdr:row>
      <xdr:rowOff>27213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773FF71-DE9D-4934-80FE-8ADCE6E657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421045</xdr:colOff>
      <xdr:row>51</xdr:row>
      <xdr:rowOff>41212</xdr:rowOff>
    </xdr:from>
    <xdr:to>
      <xdr:col>28</xdr:col>
      <xdr:colOff>40822</xdr:colOff>
      <xdr:row>74</xdr:row>
      <xdr:rowOff>27215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477746B-D502-4BD0-9078-9DF12C7515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381000</xdr:colOff>
      <xdr:row>12</xdr:row>
      <xdr:rowOff>157843</xdr:rowOff>
    </xdr:from>
    <xdr:to>
      <xdr:col>21</xdr:col>
      <xdr:colOff>549728</xdr:colOff>
      <xdr:row>14</xdr:row>
      <xdr:rowOff>27214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E3F7715C-0DF5-4EC3-81D3-5280F2FAD3C9}"/>
            </a:ext>
          </a:extLst>
        </xdr:cNvPr>
        <xdr:cNvCxnSpPr/>
      </xdr:nvCxnSpPr>
      <xdr:spPr>
        <a:xfrm>
          <a:off x="16040100" y="2389414"/>
          <a:ext cx="1475014" cy="239486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527957</xdr:colOff>
      <xdr:row>14</xdr:row>
      <xdr:rowOff>27214</xdr:rowOff>
    </xdr:from>
    <xdr:to>
      <xdr:col>27</xdr:col>
      <xdr:colOff>424543</xdr:colOff>
      <xdr:row>14</xdr:row>
      <xdr:rowOff>54428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6F9DDAF0-9BFD-4489-8F13-F509443B6223}"/>
            </a:ext>
          </a:extLst>
        </xdr:cNvPr>
        <xdr:cNvCxnSpPr/>
      </xdr:nvCxnSpPr>
      <xdr:spPr>
        <a:xfrm>
          <a:off x="17493343" y="2628900"/>
          <a:ext cx="3815443" cy="27214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370114</xdr:colOff>
      <xdr:row>2</xdr:row>
      <xdr:rowOff>174172</xdr:rowOff>
    </xdr:from>
    <xdr:to>
      <xdr:col>19</xdr:col>
      <xdr:colOff>384842</xdr:colOff>
      <xdr:row>12</xdr:row>
      <xdr:rowOff>171930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88D67021-68BF-446C-9327-E287EF4D48C6}"/>
            </a:ext>
          </a:extLst>
        </xdr:cNvPr>
        <xdr:cNvCxnSpPr/>
      </xdr:nvCxnSpPr>
      <xdr:spPr>
        <a:xfrm>
          <a:off x="16029214" y="549729"/>
          <a:ext cx="14728" cy="1853772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66261</xdr:colOff>
      <xdr:row>34</xdr:row>
      <xdr:rowOff>123056</xdr:rowOff>
    </xdr:from>
    <xdr:to>
      <xdr:col>23</xdr:col>
      <xdr:colOff>224117</xdr:colOff>
      <xdr:row>36</xdr:row>
      <xdr:rowOff>121664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C17DDFE4-A929-40FD-B383-BFB864A8CF94}"/>
            </a:ext>
          </a:extLst>
        </xdr:cNvPr>
        <xdr:cNvCxnSpPr/>
      </xdr:nvCxnSpPr>
      <xdr:spPr>
        <a:xfrm>
          <a:off x="18349528" y="6417839"/>
          <a:ext cx="157856" cy="372508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211311</xdr:colOff>
      <xdr:row>36</xdr:row>
      <xdr:rowOff>96050</xdr:rowOff>
    </xdr:from>
    <xdr:to>
      <xdr:col>23</xdr:col>
      <xdr:colOff>627529</xdr:colOff>
      <xdr:row>38</xdr:row>
      <xdr:rowOff>179294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66E80359-D9B2-49A1-9095-F8E30A1E7716}"/>
            </a:ext>
          </a:extLst>
        </xdr:cNvPr>
        <xdr:cNvCxnSpPr/>
      </xdr:nvCxnSpPr>
      <xdr:spPr>
        <a:xfrm>
          <a:off x="18473698" y="6813176"/>
          <a:ext cx="416218" cy="454639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647686</xdr:colOff>
      <xdr:row>39</xdr:row>
      <xdr:rowOff>1224</xdr:rowOff>
    </xdr:from>
    <xdr:to>
      <xdr:col>24</xdr:col>
      <xdr:colOff>70994</xdr:colOff>
      <xdr:row>39</xdr:row>
      <xdr:rowOff>47329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AE3BC551-76D4-4710-9024-81C4BEF99572}"/>
            </a:ext>
          </a:extLst>
        </xdr:cNvPr>
        <xdr:cNvCxnSpPr/>
      </xdr:nvCxnSpPr>
      <xdr:spPr>
        <a:xfrm>
          <a:off x="18930953" y="7223659"/>
          <a:ext cx="76451" cy="4610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38086</xdr:colOff>
      <xdr:row>39</xdr:row>
      <xdr:rowOff>58966</xdr:rowOff>
    </xdr:from>
    <xdr:to>
      <xdr:col>25</xdr:col>
      <xdr:colOff>279242</xdr:colOff>
      <xdr:row>39</xdr:row>
      <xdr:rowOff>160919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06AED7E8-0593-4C4B-8588-DC89CD546890}"/>
            </a:ext>
          </a:extLst>
        </xdr:cNvPr>
        <xdr:cNvCxnSpPr/>
      </xdr:nvCxnSpPr>
      <xdr:spPr>
        <a:xfrm>
          <a:off x="18974496" y="7281401"/>
          <a:ext cx="894299" cy="101953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449627</xdr:colOff>
      <xdr:row>61</xdr:row>
      <xdr:rowOff>123057</xdr:rowOff>
    </xdr:from>
    <xdr:to>
      <xdr:col>23</xdr:col>
      <xdr:colOff>586882</xdr:colOff>
      <xdr:row>62</xdr:row>
      <xdr:rowOff>170386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EAF2E777-F3D7-456C-81DF-980FA0DF6BE2}"/>
            </a:ext>
          </a:extLst>
        </xdr:cNvPr>
        <xdr:cNvCxnSpPr/>
      </xdr:nvCxnSpPr>
      <xdr:spPr>
        <a:xfrm>
          <a:off x="18732894" y="11406336"/>
          <a:ext cx="137255" cy="231913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397565</xdr:colOff>
      <xdr:row>64</xdr:row>
      <xdr:rowOff>170386</xdr:rowOff>
    </xdr:from>
    <xdr:to>
      <xdr:col>25</xdr:col>
      <xdr:colOff>615279</xdr:colOff>
      <xdr:row>65</xdr:row>
      <xdr:rowOff>113590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3D5A5DD5-3B94-4789-868A-F91914529FB6}"/>
            </a:ext>
          </a:extLst>
        </xdr:cNvPr>
        <xdr:cNvCxnSpPr/>
      </xdr:nvCxnSpPr>
      <xdr:spPr>
        <a:xfrm>
          <a:off x="19333975" y="12007417"/>
          <a:ext cx="870857" cy="127788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620958</xdr:colOff>
      <xdr:row>62</xdr:row>
      <xdr:rowOff>176066</xdr:rowOff>
    </xdr:from>
    <xdr:to>
      <xdr:col>24</xdr:col>
      <xdr:colOff>392831</xdr:colOff>
      <xdr:row>64</xdr:row>
      <xdr:rowOff>160919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058190B1-AF08-4103-ABF5-63E6B9A8018A}"/>
            </a:ext>
          </a:extLst>
        </xdr:cNvPr>
        <xdr:cNvCxnSpPr/>
      </xdr:nvCxnSpPr>
      <xdr:spPr>
        <a:xfrm>
          <a:off x="18904225" y="11643929"/>
          <a:ext cx="425016" cy="354021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397565</xdr:colOff>
      <xdr:row>54</xdr:row>
      <xdr:rowOff>56796</xdr:rowOff>
    </xdr:from>
    <xdr:to>
      <xdr:col>23</xdr:col>
      <xdr:colOff>435429</xdr:colOff>
      <xdr:row>61</xdr:row>
      <xdr:rowOff>108858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7B429ED9-7B1C-46BC-A1A3-D4486A1CF342}"/>
            </a:ext>
          </a:extLst>
        </xdr:cNvPr>
        <xdr:cNvCxnSpPr/>
      </xdr:nvCxnSpPr>
      <xdr:spPr>
        <a:xfrm>
          <a:off x="18680832" y="10047988"/>
          <a:ext cx="37864" cy="1344149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606760</xdr:colOff>
      <xdr:row>65</xdr:row>
      <xdr:rowOff>100338</xdr:rowOff>
    </xdr:from>
    <xdr:to>
      <xdr:col>27</xdr:col>
      <xdr:colOff>473292</xdr:colOff>
      <xdr:row>65</xdr:row>
      <xdr:rowOff>118323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E9E07F9A-7DB5-4DFE-96CF-5CFFA172EE82}"/>
            </a:ext>
          </a:extLst>
        </xdr:cNvPr>
        <xdr:cNvCxnSpPr/>
      </xdr:nvCxnSpPr>
      <xdr:spPr>
        <a:xfrm>
          <a:off x="20196313" y="12121953"/>
          <a:ext cx="1172817" cy="1798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242548</xdr:colOff>
      <xdr:row>39</xdr:row>
      <xdr:rowOff>159304</xdr:rowOff>
    </xdr:from>
    <xdr:to>
      <xdr:col>27</xdr:col>
      <xdr:colOff>160920</xdr:colOff>
      <xdr:row>40</xdr:row>
      <xdr:rowOff>1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8C0581C1-C633-460D-AF16-20CDCF48A2E1}"/>
            </a:ext>
          </a:extLst>
        </xdr:cNvPr>
        <xdr:cNvCxnSpPr/>
      </xdr:nvCxnSpPr>
      <xdr:spPr>
        <a:xfrm>
          <a:off x="19832101" y="7381739"/>
          <a:ext cx="1224657" cy="2528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52062</xdr:colOff>
      <xdr:row>28</xdr:row>
      <xdr:rowOff>179851</xdr:rowOff>
    </xdr:from>
    <xdr:to>
      <xdr:col>23</xdr:col>
      <xdr:colOff>68877</xdr:colOff>
      <xdr:row>34</xdr:row>
      <xdr:rowOff>136808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441140D8-7FBC-40D6-8723-1D1AC26724F1}"/>
            </a:ext>
          </a:extLst>
        </xdr:cNvPr>
        <xdr:cNvCxnSpPr/>
      </xdr:nvCxnSpPr>
      <xdr:spPr>
        <a:xfrm>
          <a:off x="18335329" y="5367130"/>
          <a:ext cx="16815" cy="1064461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4BB4BA-9ADB-46E0-8023-4F32BB80993C}" name="Table1" displayName="Table1" ref="A1:P45" totalsRowShown="0" tableBorderDxfId="16">
  <autoFilter ref="A1:P45" xr:uid="{A34BB4BA-9ADB-46E0-8023-4F32BB80993C}"/>
  <tableColumns count="16">
    <tableColumn id="1" xr3:uid="{F0D4540A-EA98-4854-91F4-41AE5FABF909}" name="Name" dataDxfId="15"/>
    <tableColumn id="14" xr3:uid="{73ADAAEF-89F2-484C-AFAD-E7301BA40D36}" name="Config" dataDxfId="14"/>
    <tableColumn id="2" xr3:uid="{BAFBFF65-56DB-4A22-B12D-A9F4BF59493D}" name="Description" dataDxfId="13"/>
    <tableColumn id="15" xr3:uid="{8D1F8151-FC11-49B9-A0BB-A19DAD3FF211}" name="Time FFT (s)" dataDxfId="12"/>
    <tableColumn id="3" xr3:uid="{3CE67481-8F57-41D3-9EB9-BA9156BFFB6F}" name="Time tot (s)" dataDxfId="11"/>
    <tableColumn id="4" xr3:uid="{05CF8334-8F26-4E24-9102-BCD730DDA268}" name="Frequency (MHz)" dataDxfId="10"/>
    <tableColumn id="11" xr3:uid="{15869923-2866-4546-AA20-C1E826523C84}" name="%CoreUtilization" dataDxfId="9"/>
    <tableColumn id="5" xr3:uid="{97F7E6DD-7389-481B-8512-4C5B1F120B1F}" name="LUTs" dataDxfId="8"/>
    <tableColumn id="6" xr3:uid="{4DE7973B-20A3-449F-862A-9D3A773C4A52}" name="FFs" dataDxfId="7"/>
    <tableColumn id="7" xr3:uid="{2FECC22C-4842-4E59-A5DC-1CA0F50922FC}" name="BRAMs" dataDxfId="6"/>
    <tableColumn id="8" xr3:uid="{AF8CB4DA-470A-4E6B-BD51-E0EA225BE76D}" name="DSPs" dataDxfId="5"/>
    <tableColumn id="9" xr3:uid="{9EBB130D-74D6-4A1F-8211-434976969632}" name="Cost" dataDxfId="4">
      <calculatedColumnFormula>20/140*Table1[[#This Row],[BRAMs]]+20/220*Table1[[#This Row],[DSPs]]+20/53200*Table1[[#This Row],[LUTs]]+20/106400*Table1[[#This Row],[FFs]]+Table1[[#This Row],[%CoreUtilization]]*20/100</calculatedColumnFormula>
    </tableColumn>
    <tableColumn id="16" xr3:uid="{C40642C9-3B85-412E-A8BF-294F3062B8C8}" name="Energy FFT (J)" dataDxfId="3"/>
    <tableColumn id="13" xr3:uid="{0EFDBCFA-CC59-42CD-89AB-C490BA153E61}" name="Energy (J)" dataDxfId="2"/>
    <tableColumn id="12" xr3:uid="{3E3EF17D-B4A0-4137-8A44-21A1AB8C052A}" name="SNR (dB)" dataDxfId="1"/>
    <tableColumn id="10" xr3:uid="{3CF280B7-88D3-41A6-BB89-F9033A2755E3}" name="Pareto ? (Yes/No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AC968-8A26-4ADE-A08E-1961AC4E6618}">
  <dimension ref="A1:P45"/>
  <sheetViews>
    <sheetView tabSelected="1" zoomScale="49" zoomScaleNormal="70" workbookViewId="0">
      <selection activeCell="P40" sqref="P40"/>
    </sheetView>
  </sheetViews>
  <sheetFormatPr defaultRowHeight="14.6" x14ac:dyDescent="0.4"/>
  <cols>
    <col min="1" max="1" width="7.4609375" customWidth="1"/>
    <col min="2" max="2" width="8.84375" style="1" customWidth="1"/>
    <col min="3" max="3" width="31.61328125" style="4" customWidth="1"/>
    <col min="4" max="4" width="13.53515625" style="4" customWidth="1"/>
    <col min="5" max="5" width="12.61328125" style="4" customWidth="1"/>
    <col min="6" max="6" width="17.15234375" style="4" customWidth="1"/>
    <col min="7" max="7" width="17.23046875" style="4" customWidth="1"/>
    <col min="8" max="8" width="8.61328125" style="4" customWidth="1"/>
    <col min="9" max="9" width="7.61328125" style="4" customWidth="1"/>
    <col min="10" max="10" width="9.84375" style="4" customWidth="1"/>
    <col min="11" max="11" width="7.4609375" style="4" customWidth="1"/>
    <col min="12" max="12" width="8.15234375" style="1" customWidth="1"/>
    <col min="13" max="13" width="12.07421875" style="4" customWidth="1"/>
    <col min="14" max="14" width="11.53515625" style="4" customWidth="1"/>
    <col min="15" max="15" width="10.61328125" style="4" customWidth="1"/>
    <col min="16" max="16" width="9.23046875" style="4"/>
  </cols>
  <sheetData>
    <row r="1" spans="1:16" ht="15" thickBot="1" x14ac:dyDescent="0.45">
      <c r="A1" s="1" t="s">
        <v>0</v>
      </c>
      <c r="B1" s="1" t="s">
        <v>14</v>
      </c>
      <c r="C1" s="4" t="s">
        <v>1</v>
      </c>
      <c r="D1" s="4" t="s">
        <v>18</v>
      </c>
      <c r="E1" s="4" t="s">
        <v>17</v>
      </c>
      <c r="F1" s="4" t="s">
        <v>2</v>
      </c>
      <c r="G1" s="4" t="s">
        <v>13</v>
      </c>
      <c r="H1" s="4" t="s">
        <v>3</v>
      </c>
      <c r="I1" s="4" t="s">
        <v>4</v>
      </c>
      <c r="J1" s="4" t="s">
        <v>5</v>
      </c>
      <c r="K1" s="4" t="s">
        <v>6</v>
      </c>
      <c r="L1" s="1" t="s">
        <v>7</v>
      </c>
      <c r="M1" s="4" t="s">
        <v>19</v>
      </c>
      <c r="N1" s="4" t="s">
        <v>20</v>
      </c>
      <c r="O1" s="4" t="s">
        <v>21</v>
      </c>
      <c r="P1" s="16" t="s">
        <v>8</v>
      </c>
    </row>
    <row r="2" spans="1:16" x14ac:dyDescent="0.4">
      <c r="A2" s="2" t="s">
        <v>10</v>
      </c>
      <c r="B2" s="2">
        <v>0</v>
      </c>
      <c r="C2" s="5" t="s">
        <v>16</v>
      </c>
      <c r="D2" s="5">
        <v>14.414</v>
      </c>
      <c r="E2" s="4">
        <v>19.425000000000001</v>
      </c>
      <c r="F2" s="5" t="s">
        <v>9</v>
      </c>
      <c r="G2" s="13">
        <v>50</v>
      </c>
      <c r="H2" s="5">
        <v>0</v>
      </c>
      <c r="I2" s="5">
        <v>0</v>
      </c>
      <c r="J2" s="5">
        <v>0</v>
      </c>
      <c r="K2" s="5">
        <v>0</v>
      </c>
      <c r="L2" s="10">
        <f>20/140*Table1[[#This Row],[BRAMs]]+20/220*Table1[[#This Row],[DSPs]]+20/53200*Table1[[#This Row],[LUTs]]+20/106400*Table1[[#This Row],[FFs]]+Table1[[#This Row],[%CoreUtilization]]*20/100</f>
        <v>10</v>
      </c>
      <c r="M2" s="13">
        <v>27.702999999999999</v>
      </c>
      <c r="N2" s="14">
        <v>37.392000000000003</v>
      </c>
      <c r="O2" s="13">
        <v>128.4</v>
      </c>
      <c r="P2" s="17" t="s">
        <v>27</v>
      </c>
    </row>
    <row r="3" spans="1:16" x14ac:dyDescent="0.4">
      <c r="A3" s="1" t="s">
        <v>10</v>
      </c>
      <c r="B3" s="1">
        <v>1</v>
      </c>
      <c r="C3" s="4" t="s">
        <v>16</v>
      </c>
      <c r="D3" s="4">
        <v>17.061</v>
      </c>
      <c r="E3" s="4">
        <v>22.335999999999999</v>
      </c>
      <c r="F3" s="4" t="s">
        <v>9</v>
      </c>
      <c r="G3" s="14">
        <v>50</v>
      </c>
      <c r="H3" s="4">
        <v>0</v>
      </c>
      <c r="I3" s="4">
        <v>0</v>
      </c>
      <c r="J3" s="4">
        <v>0</v>
      </c>
      <c r="K3" s="4">
        <v>0</v>
      </c>
      <c r="L3" s="11">
        <f>20/140*Table1[[#This Row],[BRAMs]]+20/220*Table1[[#This Row],[DSPs]]+20/53200*Table1[[#This Row],[LUTs]]+20/106400*Table1[[#This Row],[FFs]]+Table1[[#This Row],[%CoreUtilization]]*20/100</f>
        <v>10</v>
      </c>
      <c r="M3" s="14">
        <v>33.411000000000001</v>
      </c>
      <c r="N3" s="14">
        <v>43.304000000000002</v>
      </c>
      <c r="O3" s="14">
        <v>130.80000000000001</v>
      </c>
      <c r="P3" s="16" t="s">
        <v>27</v>
      </c>
    </row>
    <row r="4" spans="1:16" x14ac:dyDescent="0.4">
      <c r="A4" s="1" t="s">
        <v>10</v>
      </c>
      <c r="B4" s="1">
        <v>2</v>
      </c>
      <c r="C4" s="4" t="s">
        <v>16</v>
      </c>
      <c r="D4" s="4">
        <v>22.445</v>
      </c>
      <c r="E4" s="4">
        <v>27.882999999999999</v>
      </c>
      <c r="F4" s="4" t="s">
        <v>9</v>
      </c>
      <c r="G4" s="14">
        <v>50</v>
      </c>
      <c r="H4" s="4">
        <v>0</v>
      </c>
      <c r="I4" s="4">
        <v>0</v>
      </c>
      <c r="J4" s="4">
        <v>0</v>
      </c>
      <c r="K4" s="4">
        <v>0</v>
      </c>
      <c r="L4" s="11">
        <f>20/140*Table1[[#This Row],[BRAMs]]+20/220*Table1[[#This Row],[DSPs]]+20/53200*Table1[[#This Row],[LUTs]]+20/106400*Table1[[#This Row],[FFs]]+Table1[[#This Row],[%CoreUtilization]]*20/100</f>
        <v>10</v>
      </c>
      <c r="M4" s="14">
        <v>45.72</v>
      </c>
      <c r="N4" s="14">
        <v>56.664999999999999</v>
      </c>
      <c r="O4" s="14">
        <v>131.59800000000001</v>
      </c>
      <c r="P4" s="16" t="s">
        <v>27</v>
      </c>
    </row>
    <row r="5" spans="1:16" x14ac:dyDescent="0.4">
      <c r="A5" s="1" t="s">
        <v>10</v>
      </c>
      <c r="B5" s="1">
        <v>3</v>
      </c>
      <c r="C5" s="4" t="s">
        <v>16</v>
      </c>
      <c r="D5" s="4">
        <v>25.117000000000001</v>
      </c>
      <c r="E5" s="4">
        <v>31.175000000000001</v>
      </c>
      <c r="F5" s="4" t="s">
        <v>9</v>
      </c>
      <c r="G5" s="14">
        <v>50</v>
      </c>
      <c r="H5" s="4">
        <v>0</v>
      </c>
      <c r="I5" s="4">
        <v>0</v>
      </c>
      <c r="J5" s="4">
        <v>0</v>
      </c>
      <c r="K5" s="4">
        <v>0</v>
      </c>
      <c r="L5" s="11">
        <f>20/140*Table1[[#This Row],[BRAMs]]+20/220*Table1[[#This Row],[DSPs]]+20/53200*Table1[[#This Row],[LUTs]]+20/106400*Table1[[#This Row],[FFs]]+Table1[[#This Row],[%CoreUtilization]]*20/100</f>
        <v>10</v>
      </c>
      <c r="M5" s="14">
        <v>51.64</v>
      </c>
      <c r="N5" s="14">
        <v>63.683999999999997</v>
      </c>
      <c r="O5" s="14">
        <v>134.19999999999999</v>
      </c>
      <c r="P5" s="16" t="s">
        <v>27</v>
      </c>
    </row>
    <row r="6" spans="1:16" x14ac:dyDescent="0.4">
      <c r="A6" s="1" t="s">
        <v>10</v>
      </c>
      <c r="B6" s="1">
        <v>4</v>
      </c>
      <c r="C6" s="4" t="s">
        <v>16</v>
      </c>
      <c r="D6" s="4">
        <v>28.215</v>
      </c>
      <c r="E6" s="4">
        <v>34.552</v>
      </c>
      <c r="F6" s="4" t="s">
        <v>9</v>
      </c>
      <c r="G6" s="14">
        <v>50</v>
      </c>
      <c r="H6" s="4">
        <v>0</v>
      </c>
      <c r="I6" s="4">
        <v>0</v>
      </c>
      <c r="J6" s="4">
        <v>0</v>
      </c>
      <c r="K6" s="4">
        <v>0</v>
      </c>
      <c r="L6" s="11">
        <f>20/140*Table1[[#This Row],[BRAMs]]+20/220*Table1[[#This Row],[DSPs]]+20/53200*Table1[[#This Row],[LUTs]]+20/106400*Table1[[#This Row],[FFs]]+Table1[[#This Row],[%CoreUtilization]]*20/100</f>
        <v>10</v>
      </c>
      <c r="M6" s="14">
        <v>58.527000000000001</v>
      </c>
      <c r="N6" s="14">
        <v>71.212000000000003</v>
      </c>
      <c r="O6" s="14">
        <v>127</v>
      </c>
      <c r="P6" s="16" t="s">
        <v>27</v>
      </c>
    </row>
    <row r="7" spans="1:16" x14ac:dyDescent="0.4">
      <c r="A7" s="1" t="s">
        <v>10</v>
      </c>
      <c r="B7" s="1">
        <v>5</v>
      </c>
      <c r="C7" s="4" t="s">
        <v>16</v>
      </c>
      <c r="D7" s="4">
        <v>35.088000000000001</v>
      </c>
      <c r="E7" s="4">
        <v>42.814999999999998</v>
      </c>
      <c r="F7" s="4" t="s">
        <v>9</v>
      </c>
      <c r="G7" s="14">
        <v>50</v>
      </c>
      <c r="H7" s="4">
        <v>0</v>
      </c>
      <c r="I7" s="4">
        <v>0</v>
      </c>
      <c r="J7" s="4">
        <v>0</v>
      </c>
      <c r="K7" s="4">
        <v>0</v>
      </c>
      <c r="L7" s="11">
        <f>20/140*Table1[[#This Row],[BRAMs]]+20/220*Table1[[#This Row],[DSPs]]+20/53200*Table1[[#This Row],[LUTs]]+20/106400*Table1[[#This Row],[FFs]]+Table1[[#This Row],[%CoreUtilization]]*20/100</f>
        <v>10</v>
      </c>
      <c r="M7" s="14">
        <v>74.896000000000001</v>
      </c>
      <c r="N7" s="14">
        <v>90.314999999999998</v>
      </c>
      <c r="O7" s="14">
        <v>126.9</v>
      </c>
      <c r="P7" s="16" t="s">
        <v>27</v>
      </c>
    </row>
    <row r="8" spans="1:16" x14ac:dyDescent="0.4">
      <c r="A8" s="1" t="s">
        <v>10</v>
      </c>
      <c r="B8" s="1">
        <v>6</v>
      </c>
      <c r="C8" s="4" t="s">
        <v>16</v>
      </c>
      <c r="D8" s="4">
        <v>55.651000000000003</v>
      </c>
      <c r="E8" s="4">
        <v>69.325999999999993</v>
      </c>
      <c r="F8" s="4" t="s">
        <v>9</v>
      </c>
      <c r="G8" s="14">
        <v>50</v>
      </c>
      <c r="H8" s="4">
        <v>0</v>
      </c>
      <c r="I8" s="4">
        <v>0</v>
      </c>
      <c r="J8" s="4">
        <v>0</v>
      </c>
      <c r="K8" s="4">
        <v>0</v>
      </c>
      <c r="L8" s="11">
        <f>20/140*Table1[[#This Row],[BRAMs]]+20/220*Table1[[#This Row],[DSPs]]+20/53200*Table1[[#This Row],[LUTs]]+20/106400*Table1[[#This Row],[FFs]]+Table1[[#This Row],[%CoreUtilization]]*20/100</f>
        <v>10</v>
      </c>
      <c r="M8" s="14">
        <v>122.08</v>
      </c>
      <c r="N8" s="14">
        <v>149.001</v>
      </c>
      <c r="O8" s="14">
        <v>136.4</v>
      </c>
      <c r="P8" s="16" t="s">
        <v>27</v>
      </c>
    </row>
    <row r="9" spans="1:16" x14ac:dyDescent="0.4">
      <c r="A9" s="1" t="s">
        <v>10</v>
      </c>
      <c r="B9" s="1">
        <v>7</v>
      </c>
      <c r="C9" s="4" t="s">
        <v>16</v>
      </c>
      <c r="D9" s="4">
        <v>62.56</v>
      </c>
      <c r="E9" s="4">
        <v>112.19799999999999</v>
      </c>
      <c r="F9" s="4" t="s">
        <v>9</v>
      </c>
      <c r="G9" s="14">
        <v>50</v>
      </c>
      <c r="H9" s="4">
        <v>0</v>
      </c>
      <c r="I9" s="4">
        <v>0</v>
      </c>
      <c r="J9" s="4">
        <v>0</v>
      </c>
      <c r="K9" s="4">
        <v>0</v>
      </c>
      <c r="L9" s="11">
        <f>20/140*Table1[[#This Row],[BRAMs]]+20/220*Table1[[#This Row],[DSPs]]+20/53200*Table1[[#This Row],[LUTs]]+20/106400*Table1[[#This Row],[FFs]]+Table1[[#This Row],[%CoreUtilization]]*20/100</f>
        <v>10</v>
      </c>
      <c r="M9" s="14">
        <v>138.715</v>
      </c>
      <c r="N9" s="14">
        <v>235.39500000000001</v>
      </c>
      <c r="O9" s="14">
        <v>123</v>
      </c>
      <c r="P9" s="16" t="s">
        <v>27</v>
      </c>
    </row>
    <row r="10" spans="1:16" x14ac:dyDescent="0.4">
      <c r="A10" s="1" t="s">
        <v>10</v>
      </c>
      <c r="B10" s="1">
        <v>8</v>
      </c>
      <c r="C10" s="4" t="s">
        <v>16</v>
      </c>
      <c r="D10" s="4">
        <v>69.659000000000006</v>
      </c>
      <c r="E10" s="4">
        <v>206.95099999999999</v>
      </c>
      <c r="F10" s="4" t="s">
        <v>9</v>
      </c>
      <c r="G10" s="14">
        <v>50</v>
      </c>
      <c r="H10" s="4">
        <v>0</v>
      </c>
      <c r="I10" s="4">
        <v>0</v>
      </c>
      <c r="J10" s="4">
        <v>0</v>
      </c>
      <c r="K10" s="4">
        <v>0</v>
      </c>
      <c r="L10" s="11">
        <f>20/140*Table1[[#This Row],[BRAMs]]+20/220*Table1[[#This Row],[DSPs]]+20/53200*Table1[[#This Row],[LUTs]]+20/106400*Table1[[#This Row],[FFs]]+Table1[[#This Row],[%CoreUtilization]]*20/100</f>
        <v>10</v>
      </c>
      <c r="M10" s="14">
        <v>151.81200000000001</v>
      </c>
      <c r="N10" s="14">
        <v>416.36900000000003</v>
      </c>
      <c r="O10" s="14">
        <v>119.7</v>
      </c>
      <c r="P10" s="16" t="s">
        <v>27</v>
      </c>
    </row>
    <row r="11" spans="1:16" ht="15" thickBot="1" x14ac:dyDescent="0.45">
      <c r="A11" s="3" t="s">
        <v>10</v>
      </c>
      <c r="B11" s="3">
        <v>9</v>
      </c>
      <c r="C11" s="6" t="s">
        <v>16</v>
      </c>
      <c r="D11" s="4">
        <v>72.864999999999995</v>
      </c>
      <c r="E11" s="4">
        <v>630.64800000000002</v>
      </c>
      <c r="F11" s="6" t="s">
        <v>9</v>
      </c>
      <c r="G11" s="15">
        <v>50</v>
      </c>
      <c r="H11" s="6">
        <v>0</v>
      </c>
      <c r="I11" s="6">
        <v>0</v>
      </c>
      <c r="J11" s="6">
        <v>0</v>
      </c>
      <c r="K11" s="6">
        <v>0</v>
      </c>
      <c r="L11" s="12">
        <f>20/140*Table1[[#This Row],[BRAMs]]+20/220*Table1[[#This Row],[DSPs]]+20/53200*Table1[[#This Row],[LUTs]]+20/106400*Table1[[#This Row],[FFs]]+Table1[[#This Row],[%CoreUtilization]]*20/100</f>
        <v>10</v>
      </c>
      <c r="M11" s="14">
        <v>158.821</v>
      </c>
      <c r="N11" s="14">
        <v>1231.2719999999999</v>
      </c>
      <c r="O11" s="15">
        <v>126.3</v>
      </c>
      <c r="P11" s="18" t="s">
        <v>27</v>
      </c>
    </row>
    <row r="12" spans="1:16" x14ac:dyDescent="0.4">
      <c r="A12" s="2" t="s">
        <v>11</v>
      </c>
      <c r="B12" s="2">
        <v>0</v>
      </c>
      <c r="C12" s="5" t="s">
        <v>15</v>
      </c>
      <c r="D12" s="7">
        <v>27.281235918</v>
      </c>
      <c r="E12" s="7">
        <v>32.024951354999999</v>
      </c>
      <c r="F12" s="5">
        <v>100</v>
      </c>
      <c r="G12" s="13">
        <f>96.65/2</f>
        <v>48.325000000000003</v>
      </c>
      <c r="H12" s="5">
        <v>17766</v>
      </c>
      <c r="I12" s="5">
        <v>15936</v>
      </c>
      <c r="J12" s="5">
        <v>66.5</v>
      </c>
      <c r="K12" s="5">
        <v>128</v>
      </c>
      <c r="L12" s="10">
        <f>20/140*Table1[[#This Row],[BRAMs]]+20/220*Table1[[#This Row],[DSPs]]+20/53200*Table1[[#This Row],[LUTs]]+20/106400*Table1[[#This Row],[FFs]]+Table1[[#This Row],[%CoreUtilization]]*20/100</f>
        <v>40.475799726589202</v>
      </c>
      <c r="M12" s="13">
        <v>52.796999999999997</v>
      </c>
      <c r="N12" s="13">
        <v>61.93</v>
      </c>
      <c r="O12" s="13">
        <v>135.024</v>
      </c>
      <c r="P12" s="17" t="s">
        <v>28</v>
      </c>
    </row>
    <row r="13" spans="1:16" x14ac:dyDescent="0.4">
      <c r="A13" s="1" t="s">
        <v>11</v>
      </c>
      <c r="B13" s="1">
        <v>1</v>
      </c>
      <c r="C13" s="4" t="s">
        <v>15</v>
      </c>
      <c r="D13" s="8">
        <v>21.709978614000001</v>
      </c>
      <c r="E13" s="8">
        <v>26.817586671000001</v>
      </c>
      <c r="F13" s="4">
        <v>100</v>
      </c>
      <c r="G13" s="14">
        <f>96.45/2</f>
        <v>48.225000000000001</v>
      </c>
      <c r="H13" s="4">
        <v>17766</v>
      </c>
      <c r="I13" s="4">
        <v>15936</v>
      </c>
      <c r="J13" s="4">
        <v>66.5</v>
      </c>
      <c r="K13" s="4">
        <v>128</v>
      </c>
      <c r="L13" s="11">
        <f>20/140*Table1[[#This Row],[BRAMs]]+20/220*Table1[[#This Row],[DSPs]]+20/53200*Table1[[#This Row],[LUTs]]+20/106400*Table1[[#This Row],[FFs]]+Table1[[#This Row],[%CoreUtilization]]*20/100</f>
        <v>40.455799726589206</v>
      </c>
      <c r="M13" s="14">
        <v>42.98</v>
      </c>
      <c r="N13" s="14">
        <v>52.107999999999997</v>
      </c>
      <c r="O13" s="14">
        <v>128.27099999999999</v>
      </c>
      <c r="P13" s="16" t="s">
        <v>28</v>
      </c>
    </row>
    <row r="14" spans="1:16" x14ac:dyDescent="0.4">
      <c r="A14" s="1" t="s">
        <v>11</v>
      </c>
      <c r="B14" s="1">
        <v>2</v>
      </c>
      <c r="C14" s="4" t="s">
        <v>15</v>
      </c>
      <c r="D14" s="8">
        <v>18.921001140000001</v>
      </c>
      <c r="E14" s="8">
        <v>24.489311222000001</v>
      </c>
      <c r="F14" s="4">
        <v>100</v>
      </c>
      <c r="G14" s="14">
        <f>98.4/2</f>
        <v>49.2</v>
      </c>
      <c r="H14" s="4">
        <v>17766</v>
      </c>
      <c r="I14" s="4">
        <v>15936</v>
      </c>
      <c r="J14" s="4">
        <v>66.5</v>
      </c>
      <c r="K14" s="4">
        <v>128</v>
      </c>
      <c r="L14" s="11">
        <f>20/140*Table1[[#This Row],[BRAMs]]+20/220*Table1[[#This Row],[DSPs]]+20/53200*Table1[[#This Row],[LUTs]]+20/106400*Table1[[#This Row],[FFs]]+Table1[[#This Row],[%CoreUtilization]]*20/100</f>
        <v>40.650799726589199</v>
      </c>
      <c r="M14" s="14">
        <v>37.502000000000002</v>
      </c>
      <c r="N14" s="14">
        <v>48.563000000000002</v>
      </c>
      <c r="O14" s="14">
        <v>113.274</v>
      </c>
      <c r="P14" s="16" t="s">
        <v>28</v>
      </c>
    </row>
    <row r="15" spans="1:16" x14ac:dyDescent="0.4">
      <c r="A15" s="1" t="s">
        <v>11</v>
      </c>
      <c r="B15" s="1">
        <v>3</v>
      </c>
      <c r="C15" s="4" t="s">
        <v>15</v>
      </c>
      <c r="D15" s="8">
        <v>17.623809287</v>
      </c>
      <c r="E15" s="8">
        <v>23.682722263999999</v>
      </c>
      <c r="F15" s="4">
        <v>100</v>
      </c>
      <c r="G15" s="14">
        <f>99.46/2</f>
        <v>49.73</v>
      </c>
      <c r="H15" s="4">
        <v>17766</v>
      </c>
      <c r="I15" s="4">
        <v>15936</v>
      </c>
      <c r="J15" s="4">
        <v>66.5</v>
      </c>
      <c r="K15" s="4">
        <v>128</v>
      </c>
      <c r="L15" s="11">
        <f>20/140*Table1[[#This Row],[BRAMs]]+20/220*Table1[[#This Row],[DSPs]]+20/53200*Table1[[#This Row],[LUTs]]+20/106400*Table1[[#This Row],[FFs]]+Table1[[#This Row],[%CoreUtilization]]*20/100</f>
        <v>40.7567997265892</v>
      </c>
      <c r="M15" s="14">
        <v>35.268000000000001</v>
      </c>
      <c r="N15" s="14">
        <v>47.531999999999996</v>
      </c>
      <c r="O15" s="14">
        <v>119.509</v>
      </c>
      <c r="P15" s="16" t="s">
        <v>28</v>
      </c>
    </row>
    <row r="16" spans="1:16" x14ac:dyDescent="0.4">
      <c r="A16" s="1" t="s">
        <v>11</v>
      </c>
      <c r="B16" s="1">
        <v>4</v>
      </c>
      <c r="C16" s="4" t="s">
        <v>15</v>
      </c>
      <c r="D16" s="8">
        <v>17.423933339000001</v>
      </c>
      <c r="E16" s="8">
        <v>23.723607868999999</v>
      </c>
      <c r="F16" s="4">
        <v>100</v>
      </c>
      <c r="G16" s="14">
        <f>98.71/2</f>
        <v>49.354999999999997</v>
      </c>
      <c r="H16" s="4">
        <v>17766</v>
      </c>
      <c r="I16" s="4">
        <v>15936</v>
      </c>
      <c r="J16" s="4">
        <v>66.5</v>
      </c>
      <c r="K16" s="4">
        <v>128</v>
      </c>
      <c r="L16" s="11">
        <f>20/140*Table1[[#This Row],[BRAMs]]+20/220*Table1[[#This Row],[DSPs]]+20/53200*Table1[[#This Row],[LUTs]]+20/106400*Table1[[#This Row],[FFs]]+Table1[[#This Row],[%CoreUtilization]]*20/100</f>
        <v>40.681799726589205</v>
      </c>
      <c r="M16" s="14">
        <v>36.01</v>
      </c>
      <c r="N16" s="14">
        <v>48.447000000000003</v>
      </c>
      <c r="O16" s="14">
        <v>113.536</v>
      </c>
      <c r="P16" s="16" t="s">
        <v>28</v>
      </c>
    </row>
    <row r="17" spans="1:16" x14ac:dyDescent="0.4">
      <c r="A17" s="1" t="s">
        <v>11</v>
      </c>
      <c r="B17" s="1">
        <v>5</v>
      </c>
      <c r="C17" s="4" t="s">
        <v>15</v>
      </c>
      <c r="D17" s="8">
        <v>17.844624281000002</v>
      </c>
      <c r="E17" s="8">
        <v>25.767813201999999</v>
      </c>
      <c r="F17" s="4">
        <v>100</v>
      </c>
      <c r="G17" s="14">
        <f>99.83/2</f>
        <v>49.914999999999999</v>
      </c>
      <c r="H17" s="4">
        <v>17766</v>
      </c>
      <c r="I17" s="4">
        <v>15936</v>
      </c>
      <c r="J17" s="4">
        <v>66.5</v>
      </c>
      <c r="K17" s="4">
        <v>128</v>
      </c>
      <c r="L17" s="11">
        <f>20/140*Table1[[#This Row],[BRAMs]]+20/220*Table1[[#This Row],[DSPs]]+20/53200*Table1[[#This Row],[LUTs]]+20/106400*Table1[[#This Row],[FFs]]+Table1[[#This Row],[%CoreUtilization]]*20/100</f>
        <v>40.793799726589199</v>
      </c>
      <c r="M17" s="14">
        <v>36.780999999999999</v>
      </c>
      <c r="N17" s="14">
        <v>52.566000000000003</v>
      </c>
      <c r="O17" s="14">
        <v>110.611</v>
      </c>
      <c r="P17" s="16" t="s">
        <v>28</v>
      </c>
    </row>
    <row r="18" spans="1:16" ht="15" thickBot="1" x14ac:dyDescent="0.45">
      <c r="A18" s="3" t="s">
        <v>11</v>
      </c>
      <c r="B18" s="3">
        <v>6</v>
      </c>
      <c r="C18" s="6" t="s">
        <v>15</v>
      </c>
      <c r="D18" s="9">
        <v>19.468601416999999</v>
      </c>
      <c r="E18" s="9">
        <v>32.165640330000002</v>
      </c>
      <c r="F18" s="6">
        <v>100</v>
      </c>
      <c r="G18" s="15">
        <f>99.91/2</f>
        <v>49.954999999999998</v>
      </c>
      <c r="H18" s="6">
        <v>17766</v>
      </c>
      <c r="I18" s="6">
        <v>15936</v>
      </c>
      <c r="J18" s="6">
        <v>66.5</v>
      </c>
      <c r="K18" s="6">
        <v>128</v>
      </c>
      <c r="L18" s="12">
        <f>20/140*Table1[[#This Row],[BRAMs]]+20/220*Table1[[#This Row],[DSPs]]+20/53200*Table1[[#This Row],[LUTs]]+20/106400*Table1[[#This Row],[FFs]]+Table1[[#This Row],[%CoreUtilization]]*20/100</f>
        <v>40.801799726589202</v>
      </c>
      <c r="M18" s="15">
        <v>40.341999999999999</v>
      </c>
      <c r="N18" s="15">
        <v>66.212000000000003</v>
      </c>
      <c r="O18" s="15">
        <v>108.286</v>
      </c>
      <c r="P18" s="18" t="s">
        <v>28</v>
      </c>
    </row>
    <row r="19" spans="1:16" x14ac:dyDescent="0.4">
      <c r="A19" s="2" t="s">
        <v>12</v>
      </c>
      <c r="B19" s="2">
        <v>0</v>
      </c>
      <c r="C19" s="5" t="s">
        <v>22</v>
      </c>
      <c r="D19" s="5">
        <v>9.8759999999999994</v>
      </c>
      <c r="E19" s="5">
        <v>14.840999999999999</v>
      </c>
      <c r="F19" s="5">
        <v>100</v>
      </c>
      <c r="G19" s="5">
        <f>100/2</f>
        <v>50</v>
      </c>
      <c r="H19" s="5">
        <v>15397</v>
      </c>
      <c r="I19" s="5">
        <v>14691</v>
      </c>
      <c r="J19" s="5">
        <v>67</v>
      </c>
      <c r="K19" s="5">
        <v>128</v>
      </c>
      <c r="L19" s="10">
        <f>20/140*Table1[[#This Row],[BRAMs]]+20/220*Table1[[#This Row],[DSPs]]+20/53200*Table1[[#This Row],[LUTs]]+20/106400*Table1[[#This Row],[FFs]]+Table1[[#This Row],[%CoreUtilization]]*20/100</f>
        <v>39.757604237867398</v>
      </c>
      <c r="M19" s="13">
        <v>18.524000000000001</v>
      </c>
      <c r="N19" s="13">
        <v>28.161999999999999</v>
      </c>
      <c r="O19" s="13">
        <v>135.024</v>
      </c>
      <c r="P19" s="17" t="s">
        <v>28</v>
      </c>
    </row>
    <row r="20" spans="1:16" x14ac:dyDescent="0.4">
      <c r="A20" s="1" t="s">
        <v>12</v>
      </c>
      <c r="B20" s="1">
        <v>1</v>
      </c>
      <c r="C20" s="4" t="s">
        <v>22</v>
      </c>
      <c r="D20" s="4">
        <v>10.359</v>
      </c>
      <c r="E20" s="4">
        <v>15.569000000000001</v>
      </c>
      <c r="F20" s="4">
        <v>100</v>
      </c>
      <c r="G20" s="4">
        <f>99.58/2</f>
        <v>49.79</v>
      </c>
      <c r="H20" s="4">
        <v>15397</v>
      </c>
      <c r="I20" s="4">
        <v>14691</v>
      </c>
      <c r="J20" s="4">
        <v>67</v>
      </c>
      <c r="K20" s="4">
        <v>128</v>
      </c>
      <c r="L20" s="11">
        <f>20/140*Table1[[#This Row],[BRAMs]]+20/220*Table1[[#This Row],[DSPs]]+20/53200*Table1[[#This Row],[LUTs]]+20/106400*Table1[[#This Row],[FFs]]+Table1[[#This Row],[%CoreUtilization]]*20/100</f>
        <v>39.715604237867396</v>
      </c>
      <c r="M20" s="14">
        <v>20.103999999999999</v>
      </c>
      <c r="N20" s="14">
        <v>30.097000000000001</v>
      </c>
      <c r="O20" s="14">
        <v>128.27099999999999</v>
      </c>
      <c r="P20" s="16" t="s">
        <v>28</v>
      </c>
    </row>
    <row r="21" spans="1:16" x14ac:dyDescent="0.4">
      <c r="A21" s="1" t="s">
        <v>12</v>
      </c>
      <c r="B21" s="1">
        <v>2</v>
      </c>
      <c r="C21" s="4" t="s">
        <v>22</v>
      </c>
      <c r="D21" s="4">
        <v>10.951000000000001</v>
      </c>
      <c r="E21" s="4">
        <v>16.405999999999999</v>
      </c>
      <c r="F21" s="4">
        <v>100</v>
      </c>
      <c r="G21" s="4">
        <f>99.13/2</f>
        <v>49.564999999999998</v>
      </c>
      <c r="H21" s="4">
        <v>15397</v>
      </c>
      <c r="I21" s="4">
        <v>14691</v>
      </c>
      <c r="J21" s="4">
        <v>67</v>
      </c>
      <c r="K21" s="4">
        <v>128</v>
      </c>
      <c r="L21" s="11">
        <f>20/140*Table1[[#This Row],[BRAMs]]+20/220*Table1[[#This Row],[DSPs]]+20/53200*Table1[[#This Row],[LUTs]]+20/106400*Table1[[#This Row],[FFs]]+Table1[[#This Row],[%CoreUtilization]]*20/100</f>
        <v>39.670604237867394</v>
      </c>
      <c r="M21" s="14">
        <v>22.033999999999999</v>
      </c>
      <c r="N21" s="14">
        <v>32.622999999999998</v>
      </c>
      <c r="O21" s="14">
        <v>113.274</v>
      </c>
      <c r="P21" s="16" t="s">
        <v>28</v>
      </c>
    </row>
    <row r="22" spans="1:16" x14ac:dyDescent="0.4">
      <c r="A22" s="1" t="s">
        <v>12</v>
      </c>
      <c r="B22" s="1">
        <v>3</v>
      </c>
      <c r="C22" s="4" t="s">
        <v>22</v>
      </c>
      <c r="D22" s="4">
        <v>11.159000000000001</v>
      </c>
      <c r="E22" s="4">
        <v>16.824999999999999</v>
      </c>
      <c r="F22" s="4">
        <v>100</v>
      </c>
      <c r="G22" s="4">
        <f>100/2</f>
        <v>50</v>
      </c>
      <c r="H22" s="4">
        <v>15397</v>
      </c>
      <c r="I22" s="4">
        <v>14691</v>
      </c>
      <c r="J22" s="4">
        <v>67</v>
      </c>
      <c r="K22" s="4">
        <v>128</v>
      </c>
      <c r="L22" s="11">
        <f>20/140*Table1[[#This Row],[BRAMs]]+20/220*Table1[[#This Row],[DSPs]]+20/53200*Table1[[#This Row],[LUTs]]+20/106400*Table1[[#This Row],[FFs]]+Table1[[#This Row],[%CoreUtilization]]*20/100</f>
        <v>39.757604237867398</v>
      </c>
      <c r="M22" s="14">
        <v>22.224</v>
      </c>
      <c r="N22" s="14">
        <v>33.844000000000001</v>
      </c>
      <c r="O22" s="14">
        <v>119.509</v>
      </c>
      <c r="P22" s="16" t="s">
        <v>28</v>
      </c>
    </row>
    <row r="23" spans="1:16" x14ac:dyDescent="0.4">
      <c r="A23" s="1" t="s">
        <v>12</v>
      </c>
      <c r="B23" s="1">
        <v>4</v>
      </c>
      <c r="C23" s="4" t="s">
        <v>22</v>
      </c>
      <c r="D23" s="4">
        <v>11.167</v>
      </c>
      <c r="E23" s="4">
        <v>17.079000000000001</v>
      </c>
      <c r="F23" s="4">
        <v>100</v>
      </c>
      <c r="G23" s="4">
        <f t="shared" ref="G23:G24" si="0">100/2</f>
        <v>50</v>
      </c>
      <c r="H23" s="4">
        <v>15397</v>
      </c>
      <c r="I23" s="4">
        <v>14691</v>
      </c>
      <c r="J23" s="4">
        <v>67</v>
      </c>
      <c r="K23" s="4">
        <v>128</v>
      </c>
      <c r="L23" s="11">
        <f>20/140*Table1[[#This Row],[BRAMs]]+20/220*Table1[[#This Row],[DSPs]]+20/53200*Table1[[#This Row],[LUTs]]+20/106400*Table1[[#This Row],[FFs]]+Table1[[#This Row],[%CoreUtilization]]*20/100</f>
        <v>39.757604237867398</v>
      </c>
      <c r="M23" s="14">
        <v>23.233000000000001</v>
      </c>
      <c r="N23" s="14">
        <v>35.256999999999998</v>
      </c>
      <c r="O23" s="14">
        <v>113.536</v>
      </c>
      <c r="P23" s="16" t="s">
        <v>28</v>
      </c>
    </row>
    <row r="24" spans="1:16" x14ac:dyDescent="0.4">
      <c r="A24" s="1" t="s">
        <v>12</v>
      </c>
      <c r="B24" s="1">
        <v>5</v>
      </c>
      <c r="C24" s="4" t="s">
        <v>22</v>
      </c>
      <c r="D24" s="4">
        <v>11.566000000000001</v>
      </c>
      <c r="E24" s="4">
        <v>19.059999999999999</v>
      </c>
      <c r="F24" s="4">
        <v>100</v>
      </c>
      <c r="G24" s="4">
        <f t="shared" si="0"/>
        <v>50</v>
      </c>
      <c r="H24" s="4">
        <v>15397</v>
      </c>
      <c r="I24" s="4">
        <v>14691</v>
      </c>
      <c r="J24" s="4">
        <v>67</v>
      </c>
      <c r="K24" s="4">
        <v>128</v>
      </c>
      <c r="L24" s="11">
        <f>20/140*Table1[[#This Row],[BRAMs]]+20/220*Table1[[#This Row],[DSPs]]+20/53200*Table1[[#This Row],[LUTs]]+20/106400*Table1[[#This Row],[FFs]]+Table1[[#This Row],[%CoreUtilization]]*20/100</f>
        <v>39.757604237867398</v>
      </c>
      <c r="M24" s="14">
        <v>24.056999999999999</v>
      </c>
      <c r="N24" s="14">
        <v>39.372</v>
      </c>
      <c r="O24" s="14">
        <v>110.611</v>
      </c>
      <c r="P24" s="16" t="s">
        <v>28</v>
      </c>
    </row>
    <row r="25" spans="1:16" ht="15" thickBot="1" x14ac:dyDescent="0.45">
      <c r="A25" s="3" t="s">
        <v>12</v>
      </c>
      <c r="B25" s="3">
        <v>6</v>
      </c>
      <c r="C25" s="6" t="s">
        <v>22</v>
      </c>
      <c r="D25" s="6">
        <v>12.874000000000001</v>
      </c>
      <c r="E25" s="6">
        <v>26.38</v>
      </c>
      <c r="F25" s="6">
        <v>100</v>
      </c>
      <c r="G25" s="6">
        <f>100/2</f>
        <v>50</v>
      </c>
      <c r="H25" s="6">
        <v>15397</v>
      </c>
      <c r="I25" s="6">
        <v>14691</v>
      </c>
      <c r="J25" s="6">
        <v>67</v>
      </c>
      <c r="K25" s="6">
        <v>128</v>
      </c>
      <c r="L25" s="12">
        <f>20/140*Table1[[#This Row],[BRAMs]]+20/220*Table1[[#This Row],[DSPs]]+20/53200*Table1[[#This Row],[LUTs]]+20/106400*Table1[[#This Row],[FFs]]+Table1[[#This Row],[%CoreUtilization]]*20/100</f>
        <v>39.757604237867398</v>
      </c>
      <c r="M25" s="15">
        <v>27.041</v>
      </c>
      <c r="N25" s="15">
        <v>54.058</v>
      </c>
      <c r="O25" s="15">
        <v>108.286</v>
      </c>
      <c r="P25" s="18" t="s">
        <v>28</v>
      </c>
    </row>
    <row r="26" spans="1:16" x14ac:dyDescent="0.4">
      <c r="A26" s="2" t="s">
        <v>23</v>
      </c>
      <c r="B26" s="2">
        <v>0</v>
      </c>
      <c r="C26" s="5" t="s">
        <v>24</v>
      </c>
      <c r="D26" s="5">
        <v>8.7639999999999993</v>
      </c>
      <c r="E26" s="5">
        <v>12.000999999999999</v>
      </c>
      <c r="F26" s="5" t="s">
        <v>9</v>
      </c>
      <c r="G26" s="13">
        <f>196.69/2</f>
        <v>98.344999999999999</v>
      </c>
      <c r="H26" s="5">
        <v>0</v>
      </c>
      <c r="I26" s="5">
        <v>0</v>
      </c>
      <c r="J26" s="5">
        <v>0</v>
      </c>
      <c r="K26" s="5">
        <v>0</v>
      </c>
      <c r="L26" s="10">
        <f>20/140*Table1[[#This Row],[BRAMs]]+20/220*Table1[[#This Row],[DSPs]]+20/53200*Table1[[#This Row],[LUTs]]+20/106400*Table1[[#This Row],[FFs]]+Table1[[#This Row],[%CoreUtilization]]*20/100</f>
        <v>19.669</v>
      </c>
      <c r="M26" s="13">
        <v>16.274000000000001</v>
      </c>
      <c r="N26" s="13">
        <v>22.771000000000001</v>
      </c>
      <c r="O26" s="13">
        <v>130.23400000000001</v>
      </c>
      <c r="P26" s="17" t="s">
        <v>27</v>
      </c>
    </row>
    <row r="27" spans="1:16" x14ac:dyDescent="0.4">
      <c r="A27" s="1" t="s">
        <v>23</v>
      </c>
      <c r="B27" s="1">
        <v>1</v>
      </c>
      <c r="C27" s="4" t="s">
        <v>24</v>
      </c>
      <c r="D27" s="4">
        <v>9.6430000000000007</v>
      </c>
      <c r="E27" s="4">
        <v>12.997999999999999</v>
      </c>
      <c r="F27" s="4" t="s">
        <v>9</v>
      </c>
      <c r="G27" s="14">
        <f>195.35/2</f>
        <v>97.674999999999997</v>
      </c>
      <c r="H27" s="4">
        <v>0</v>
      </c>
      <c r="I27" s="4">
        <v>0</v>
      </c>
      <c r="J27" s="4">
        <v>0</v>
      </c>
      <c r="K27" s="4">
        <v>0</v>
      </c>
      <c r="L27" s="11">
        <f>20/140*Table1[[#This Row],[BRAMs]]+20/220*Table1[[#This Row],[DSPs]]+20/53200*Table1[[#This Row],[LUTs]]+20/106400*Table1[[#This Row],[FFs]]+Table1[[#This Row],[%CoreUtilization]]*20/100</f>
        <v>19.535</v>
      </c>
      <c r="M27" s="14">
        <v>18.227</v>
      </c>
      <c r="N27" s="14">
        <v>24.9</v>
      </c>
      <c r="O27" s="14">
        <v>130.10499999999999</v>
      </c>
      <c r="P27" s="16" t="s">
        <v>27</v>
      </c>
    </row>
    <row r="28" spans="1:16" x14ac:dyDescent="0.4">
      <c r="A28" s="1" t="s">
        <v>23</v>
      </c>
      <c r="B28" s="1">
        <v>2</v>
      </c>
      <c r="C28" s="4" t="s">
        <v>24</v>
      </c>
      <c r="D28" s="4">
        <v>10.685</v>
      </c>
      <c r="E28" s="4">
        <v>14.117000000000001</v>
      </c>
      <c r="F28" s="4" t="s">
        <v>9</v>
      </c>
      <c r="G28" s="14">
        <f>194.49/2</f>
        <v>97.245000000000005</v>
      </c>
      <c r="H28" s="4">
        <v>0</v>
      </c>
      <c r="I28" s="4">
        <v>0</v>
      </c>
      <c r="J28" s="4">
        <v>0</v>
      </c>
      <c r="K28" s="4">
        <v>0</v>
      </c>
      <c r="L28" s="11">
        <f>20/140*Table1[[#This Row],[BRAMs]]+20/220*Table1[[#This Row],[DSPs]]+20/53200*Table1[[#This Row],[LUTs]]+20/106400*Table1[[#This Row],[FFs]]+Table1[[#This Row],[%CoreUtilization]]*20/100</f>
        <v>19.449000000000002</v>
      </c>
      <c r="M28" s="14">
        <v>20.722000000000001</v>
      </c>
      <c r="N28" s="14">
        <v>27.373999999999999</v>
      </c>
      <c r="O28" s="14">
        <v>117.086</v>
      </c>
      <c r="P28" s="16" t="s">
        <v>27</v>
      </c>
    </row>
    <row r="29" spans="1:16" x14ac:dyDescent="0.4">
      <c r="A29" s="1" t="s">
        <v>23</v>
      </c>
      <c r="B29" s="1">
        <v>3</v>
      </c>
      <c r="C29" s="4" t="s">
        <v>24</v>
      </c>
      <c r="D29" s="4">
        <v>11.093999999999999</v>
      </c>
      <c r="E29" s="4">
        <v>15.038</v>
      </c>
      <c r="F29" s="4" t="s">
        <v>9</v>
      </c>
      <c r="G29" s="14">
        <f>193.69/2</f>
        <v>96.844999999999999</v>
      </c>
      <c r="H29" s="4">
        <v>0</v>
      </c>
      <c r="I29" s="4">
        <v>0</v>
      </c>
      <c r="J29" s="4">
        <v>0</v>
      </c>
      <c r="K29" s="4">
        <v>0</v>
      </c>
      <c r="L29" s="11">
        <f>20/140*Table1[[#This Row],[BRAMs]]+20/220*Table1[[#This Row],[DSPs]]+20/53200*Table1[[#This Row],[LUTs]]+20/106400*Table1[[#This Row],[FFs]]+Table1[[#This Row],[%CoreUtilization]]*20/100</f>
        <v>19.369</v>
      </c>
      <c r="M29" s="14">
        <v>21.93</v>
      </c>
      <c r="N29" s="14">
        <v>30.077999999999999</v>
      </c>
      <c r="O29" s="14">
        <v>123.342</v>
      </c>
      <c r="P29" s="16" t="s">
        <v>27</v>
      </c>
    </row>
    <row r="30" spans="1:16" x14ac:dyDescent="0.4">
      <c r="A30" s="1" t="s">
        <v>23</v>
      </c>
      <c r="B30" s="1">
        <v>4</v>
      </c>
      <c r="C30" s="4" t="s">
        <v>24</v>
      </c>
      <c r="D30" s="4">
        <v>11.249000000000001</v>
      </c>
      <c r="E30" s="4">
        <v>15.535</v>
      </c>
      <c r="F30" s="4" t="s">
        <v>9</v>
      </c>
      <c r="G30" s="14">
        <f>193.08/2</f>
        <v>96.54</v>
      </c>
      <c r="H30" s="4">
        <v>0</v>
      </c>
      <c r="I30" s="4">
        <v>0</v>
      </c>
      <c r="J30" s="4">
        <v>0</v>
      </c>
      <c r="K30" s="4">
        <v>0</v>
      </c>
      <c r="L30" s="11">
        <f>20/140*Table1[[#This Row],[BRAMs]]+20/220*Table1[[#This Row],[DSPs]]+20/53200*Table1[[#This Row],[LUTs]]+20/106400*Table1[[#This Row],[FFs]]+Table1[[#This Row],[%CoreUtilization]]*20/100</f>
        <v>19.308000000000003</v>
      </c>
      <c r="M30" s="14">
        <v>23.105</v>
      </c>
      <c r="N30" s="14">
        <v>31.530999999999999</v>
      </c>
      <c r="O30" s="14">
        <v>108.86199999999999</v>
      </c>
      <c r="P30" s="16" t="s">
        <v>27</v>
      </c>
    </row>
    <row r="31" spans="1:16" x14ac:dyDescent="0.4">
      <c r="A31" s="1" t="s">
        <v>23</v>
      </c>
      <c r="B31" s="1">
        <v>5</v>
      </c>
      <c r="C31" s="4" t="s">
        <v>24</v>
      </c>
      <c r="D31" s="4">
        <v>11.906000000000001</v>
      </c>
      <c r="E31" s="4">
        <v>16.922999999999998</v>
      </c>
      <c r="F31" s="4" t="s">
        <v>9</v>
      </c>
      <c r="G31" s="14">
        <f>193.87/2</f>
        <v>96.935000000000002</v>
      </c>
      <c r="H31" s="4">
        <v>0</v>
      </c>
      <c r="I31" s="4">
        <v>0</v>
      </c>
      <c r="J31" s="4">
        <v>0</v>
      </c>
      <c r="K31" s="4">
        <v>0</v>
      </c>
      <c r="L31" s="11">
        <f>20/140*Table1[[#This Row],[BRAMs]]+20/220*Table1[[#This Row],[DSPs]]+20/53200*Table1[[#This Row],[LUTs]]+20/106400*Table1[[#This Row],[FFs]]+Table1[[#This Row],[%CoreUtilization]]*20/100</f>
        <v>19.387</v>
      </c>
      <c r="M31" s="14">
        <v>24.468</v>
      </c>
      <c r="N31" s="14">
        <v>34.537999999999997</v>
      </c>
      <c r="O31" s="14">
        <v>107.104</v>
      </c>
      <c r="P31" s="16" t="s">
        <v>27</v>
      </c>
    </row>
    <row r="32" spans="1:16" x14ac:dyDescent="0.4">
      <c r="A32" s="1" t="s">
        <v>23</v>
      </c>
      <c r="B32" s="1">
        <v>6</v>
      </c>
      <c r="C32" s="4" t="s">
        <v>24</v>
      </c>
      <c r="D32" s="4">
        <v>13.000999999999999</v>
      </c>
      <c r="E32" s="4">
        <v>20.968</v>
      </c>
      <c r="F32" s="4" t="s">
        <v>9</v>
      </c>
      <c r="G32" s="14">
        <f>192.03/2</f>
        <v>96.015000000000001</v>
      </c>
      <c r="H32" s="4">
        <v>0</v>
      </c>
      <c r="I32" s="4">
        <v>0</v>
      </c>
      <c r="J32" s="4">
        <v>0</v>
      </c>
      <c r="K32" s="4">
        <v>0</v>
      </c>
      <c r="L32" s="11">
        <f>20/140*Table1[[#This Row],[BRAMs]]+20/220*Table1[[#This Row],[DSPs]]+20/53200*Table1[[#This Row],[LUTs]]+20/106400*Table1[[#This Row],[FFs]]+Table1[[#This Row],[%CoreUtilization]]*20/100</f>
        <v>19.202999999999999</v>
      </c>
      <c r="M32" s="14">
        <v>26.797999999999998</v>
      </c>
      <c r="N32" s="14">
        <v>42.636000000000003</v>
      </c>
      <c r="O32" s="14">
        <v>110.726</v>
      </c>
      <c r="P32" s="16" t="s">
        <v>27</v>
      </c>
    </row>
    <row r="33" spans="1:16" x14ac:dyDescent="0.4">
      <c r="A33" s="1" t="s">
        <v>23</v>
      </c>
      <c r="B33" s="1">
        <v>7</v>
      </c>
      <c r="C33" s="4" t="s">
        <v>24</v>
      </c>
      <c r="D33" s="4">
        <v>16.821000000000002</v>
      </c>
      <c r="E33" s="4">
        <v>45.960999999999999</v>
      </c>
      <c r="F33" s="4" t="s">
        <v>9</v>
      </c>
      <c r="G33" s="14">
        <f>190.25/2</f>
        <v>95.125</v>
      </c>
      <c r="H33" s="4">
        <v>0</v>
      </c>
      <c r="I33" s="4">
        <v>0</v>
      </c>
      <c r="J33" s="4">
        <v>0</v>
      </c>
      <c r="K33" s="4">
        <v>0</v>
      </c>
      <c r="L33" s="11">
        <f>20/140*Table1[[#This Row],[BRAMs]]+20/220*Table1[[#This Row],[DSPs]]+20/53200*Table1[[#This Row],[LUTs]]+20/106400*Table1[[#This Row],[FFs]]+Table1[[#This Row],[%CoreUtilization]]*20/100</f>
        <v>19.024999999999999</v>
      </c>
      <c r="M33" s="14">
        <v>34.837000000000003</v>
      </c>
      <c r="N33" s="14">
        <v>91.412000000000006</v>
      </c>
      <c r="O33" s="14">
        <v>96.889799999999994</v>
      </c>
      <c r="P33" s="16" t="s">
        <v>27</v>
      </c>
    </row>
    <row r="34" spans="1:16" x14ac:dyDescent="0.4">
      <c r="A34" s="1" t="s">
        <v>23</v>
      </c>
      <c r="B34" s="1">
        <v>8</v>
      </c>
      <c r="C34" s="4" t="s">
        <v>24</v>
      </c>
      <c r="D34" s="4">
        <v>18.420999999999999</v>
      </c>
      <c r="E34" s="4">
        <v>95.792000000000002</v>
      </c>
      <c r="F34" s="4" t="s">
        <v>9</v>
      </c>
      <c r="G34" s="14">
        <f>185.33/2</f>
        <v>92.665000000000006</v>
      </c>
      <c r="H34" s="4">
        <v>0</v>
      </c>
      <c r="I34" s="4">
        <v>0</v>
      </c>
      <c r="J34" s="4">
        <v>0</v>
      </c>
      <c r="K34" s="4">
        <v>0</v>
      </c>
      <c r="L34" s="11">
        <f>20/140*Table1[[#This Row],[BRAMs]]+20/220*Table1[[#This Row],[DSPs]]+20/53200*Table1[[#This Row],[LUTs]]+20/106400*Table1[[#This Row],[FFs]]+Table1[[#This Row],[%CoreUtilization]]*20/100</f>
        <v>18.533000000000001</v>
      </c>
      <c r="M34" s="14">
        <v>38.100999999999999</v>
      </c>
      <c r="N34" s="14">
        <v>185.77199999999999</v>
      </c>
      <c r="O34" s="14">
        <v>93.173500000000004</v>
      </c>
      <c r="P34" s="16" t="s">
        <v>27</v>
      </c>
    </row>
    <row r="35" spans="1:16" ht="15" thickBot="1" x14ac:dyDescent="0.45">
      <c r="A35" s="3" t="s">
        <v>23</v>
      </c>
      <c r="B35" s="3">
        <v>9</v>
      </c>
      <c r="C35" s="6" t="s">
        <v>24</v>
      </c>
      <c r="D35" s="6">
        <v>18.068000000000001</v>
      </c>
      <c r="E35" s="6">
        <v>334.26</v>
      </c>
      <c r="F35" s="6" t="s">
        <v>9</v>
      </c>
      <c r="G35" s="15">
        <f>188.66/2</f>
        <v>94.33</v>
      </c>
      <c r="H35" s="6">
        <v>0</v>
      </c>
      <c r="I35" s="6">
        <v>0</v>
      </c>
      <c r="J35" s="6">
        <v>0</v>
      </c>
      <c r="K35" s="6">
        <v>0</v>
      </c>
      <c r="L35" s="12">
        <f>20/140*Table1[[#This Row],[BRAMs]]+20/220*Table1[[#This Row],[DSPs]]+20/53200*Table1[[#This Row],[LUTs]]+20/106400*Table1[[#This Row],[FFs]]+Table1[[#This Row],[%CoreUtilization]]*20/100</f>
        <v>18.866</v>
      </c>
      <c r="M35" s="15">
        <v>37.314</v>
      </c>
      <c r="N35" s="15">
        <v>638.69799999999998</v>
      </c>
      <c r="O35" s="15">
        <v>95.182400000000001</v>
      </c>
      <c r="P35" s="18" t="s">
        <v>27</v>
      </c>
    </row>
    <row r="36" spans="1:16" x14ac:dyDescent="0.4">
      <c r="A36" s="2" t="s">
        <v>25</v>
      </c>
      <c r="B36" s="2">
        <v>0</v>
      </c>
      <c r="C36" s="5" t="s">
        <v>26</v>
      </c>
      <c r="D36" s="5">
        <v>16.084</v>
      </c>
      <c r="E36" s="5">
        <v>21.04</v>
      </c>
      <c r="F36" s="5">
        <v>100</v>
      </c>
      <c r="G36" s="5">
        <f>99.89/2</f>
        <v>49.945</v>
      </c>
      <c r="H36" s="5">
        <v>5797</v>
      </c>
      <c r="I36" s="5">
        <v>7348</v>
      </c>
      <c r="J36" s="5">
        <v>11</v>
      </c>
      <c r="K36" s="5">
        <v>48</v>
      </c>
      <c r="L36" s="10">
        <f>20/140*Table1[[#This Row],[BRAMs]]+20/220*Table1[[#This Row],[DSPs]]+20/53200*Table1[[#This Row],[LUTs]]+20/106400*Table1[[#This Row],[FFs]]+Table1[[#This Row],[%CoreUtilization]]*20/100</f>
        <v>19.484591250854407</v>
      </c>
      <c r="M36" s="13">
        <v>27.678000000000001</v>
      </c>
      <c r="N36" s="13">
        <v>35.823999999999998</v>
      </c>
      <c r="O36" s="13">
        <v>127.601</v>
      </c>
      <c r="P36" s="17" t="s">
        <v>28</v>
      </c>
    </row>
    <row r="37" spans="1:16" x14ac:dyDescent="0.4">
      <c r="A37" s="1" t="s">
        <v>25</v>
      </c>
      <c r="B37" s="1">
        <v>1</v>
      </c>
      <c r="F37" s="4" t="s">
        <v>9</v>
      </c>
      <c r="G37" s="16"/>
      <c r="L37" s="11">
        <f>20/140*Table1[[#This Row],[BRAMs]]+20/220*Table1[[#This Row],[DSPs]]+20/53200*Table1[[#This Row],[LUTs]]+20/106400*Table1[[#This Row],[FFs]]+Table1[[#This Row],[%CoreUtilization]]*20/100</f>
        <v>0</v>
      </c>
      <c r="M37" s="14"/>
      <c r="N37" s="14"/>
      <c r="O37" s="14"/>
      <c r="P37" s="16"/>
    </row>
    <row r="38" spans="1:16" x14ac:dyDescent="0.4">
      <c r="A38" s="1" t="s">
        <v>25</v>
      </c>
      <c r="B38" s="1">
        <v>2</v>
      </c>
      <c r="F38" s="4" t="s">
        <v>9</v>
      </c>
      <c r="L38" s="11">
        <f>20/140*Table1[[#This Row],[BRAMs]]+20/220*Table1[[#This Row],[DSPs]]+20/53200*Table1[[#This Row],[LUTs]]+20/106400*Table1[[#This Row],[FFs]]+Table1[[#This Row],[%CoreUtilization]]*20/100</f>
        <v>0</v>
      </c>
      <c r="M38" s="14"/>
      <c r="N38" s="14"/>
      <c r="O38" s="14"/>
      <c r="P38" s="16"/>
    </row>
    <row r="39" spans="1:16" x14ac:dyDescent="0.4">
      <c r="A39" s="1" t="s">
        <v>25</v>
      </c>
      <c r="B39" s="1">
        <v>3</v>
      </c>
      <c r="F39" s="4" t="s">
        <v>9</v>
      </c>
      <c r="G39" s="16"/>
      <c r="L39" s="11">
        <f>20/140*Table1[[#This Row],[BRAMs]]+20/220*Table1[[#This Row],[DSPs]]+20/53200*Table1[[#This Row],[LUTs]]+20/106400*Table1[[#This Row],[FFs]]+Table1[[#This Row],[%CoreUtilization]]*20/100</f>
        <v>0</v>
      </c>
      <c r="M39" s="14"/>
      <c r="N39" s="14"/>
      <c r="O39" s="14"/>
      <c r="P39" s="16"/>
    </row>
    <row r="40" spans="1:16" x14ac:dyDescent="0.4">
      <c r="A40" s="1" t="s">
        <v>25</v>
      </c>
      <c r="B40" s="1">
        <v>4</v>
      </c>
      <c r="F40" s="4" t="s">
        <v>9</v>
      </c>
      <c r="L40" s="11">
        <f>20/140*Table1[[#This Row],[BRAMs]]+20/220*Table1[[#This Row],[DSPs]]+20/53200*Table1[[#This Row],[LUTs]]+20/106400*Table1[[#This Row],[FFs]]+Table1[[#This Row],[%CoreUtilization]]*20/100</f>
        <v>0</v>
      </c>
      <c r="M40" s="14"/>
      <c r="N40" s="14"/>
      <c r="O40" s="14"/>
      <c r="P40" s="16"/>
    </row>
    <row r="41" spans="1:16" x14ac:dyDescent="0.4">
      <c r="A41" s="1" t="s">
        <v>25</v>
      </c>
      <c r="B41" s="1">
        <v>5</v>
      </c>
      <c r="F41" s="4" t="s">
        <v>9</v>
      </c>
      <c r="G41" s="16"/>
      <c r="L41" s="11">
        <f>20/140*Table1[[#This Row],[BRAMs]]+20/220*Table1[[#This Row],[DSPs]]+20/53200*Table1[[#This Row],[LUTs]]+20/106400*Table1[[#This Row],[FFs]]+Table1[[#This Row],[%CoreUtilization]]*20/100</f>
        <v>0</v>
      </c>
      <c r="M41" s="14"/>
      <c r="N41" s="14"/>
      <c r="O41" s="14"/>
      <c r="P41" s="16"/>
    </row>
    <row r="42" spans="1:16" x14ac:dyDescent="0.4">
      <c r="A42" s="1" t="s">
        <v>25</v>
      </c>
      <c r="B42" s="1">
        <v>6</v>
      </c>
      <c r="F42" s="4" t="s">
        <v>9</v>
      </c>
      <c r="G42" s="16"/>
      <c r="L42" s="11">
        <f>20/140*Table1[[#This Row],[BRAMs]]+20/220*Table1[[#This Row],[DSPs]]+20/53200*Table1[[#This Row],[LUTs]]+20/106400*Table1[[#This Row],[FFs]]+Table1[[#This Row],[%CoreUtilization]]*20/100</f>
        <v>0</v>
      </c>
      <c r="M42" s="14"/>
      <c r="N42" s="14"/>
      <c r="O42" s="14"/>
      <c r="P42" s="16"/>
    </row>
    <row r="43" spans="1:16" x14ac:dyDescent="0.4">
      <c r="A43" s="1" t="s">
        <v>25</v>
      </c>
      <c r="B43" s="1">
        <v>7</v>
      </c>
      <c r="F43" s="4" t="s">
        <v>9</v>
      </c>
      <c r="L43" s="11">
        <f>20/140*Table1[[#This Row],[BRAMs]]+20/220*Table1[[#This Row],[DSPs]]+20/53200*Table1[[#This Row],[LUTs]]+20/106400*Table1[[#This Row],[FFs]]+Table1[[#This Row],[%CoreUtilization]]*20/100</f>
        <v>0</v>
      </c>
      <c r="M43" s="14"/>
      <c r="N43" s="14"/>
      <c r="O43" s="14"/>
      <c r="P43" s="16"/>
    </row>
    <row r="44" spans="1:16" x14ac:dyDescent="0.4">
      <c r="A44" s="1" t="s">
        <v>25</v>
      </c>
      <c r="B44" s="1">
        <v>8</v>
      </c>
      <c r="F44" s="4" t="s">
        <v>9</v>
      </c>
      <c r="G44" s="16"/>
      <c r="L44" s="11">
        <f>20/140*Table1[[#This Row],[BRAMs]]+20/220*Table1[[#This Row],[DSPs]]+20/53200*Table1[[#This Row],[LUTs]]+20/106400*Table1[[#This Row],[FFs]]+Table1[[#This Row],[%CoreUtilization]]*20/100</f>
        <v>0</v>
      </c>
      <c r="M44" s="14"/>
      <c r="N44" s="14"/>
      <c r="O44" s="14"/>
      <c r="P44" s="16"/>
    </row>
    <row r="45" spans="1:16" x14ac:dyDescent="0.4">
      <c r="A45" s="1" t="s">
        <v>25</v>
      </c>
      <c r="B45" s="1">
        <v>9</v>
      </c>
      <c r="F45" s="4" t="s">
        <v>9</v>
      </c>
      <c r="L45" s="11">
        <f>20/140*Table1[[#This Row],[BRAMs]]+20/220*Table1[[#This Row],[DSPs]]+20/53200*Table1[[#This Row],[LUTs]]+20/106400*Table1[[#This Row],[FFs]]+Table1[[#This Row],[%CoreUtilization]]*20/100</f>
        <v>0</v>
      </c>
      <c r="M45" s="14"/>
      <c r="N45" s="14"/>
      <c r="O45" s="14"/>
      <c r="P45" s="16"/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Gaëtan Jenni</dc:creator>
  <cp:lastModifiedBy>Gaëtan Jenni</cp:lastModifiedBy>
  <dcterms:created xsi:type="dcterms:W3CDTF">2025-03-13T15:37:06Z</dcterms:created>
  <dcterms:modified xsi:type="dcterms:W3CDTF">2025-05-22T15:57:40Z</dcterms:modified>
</cp:coreProperties>
</file>