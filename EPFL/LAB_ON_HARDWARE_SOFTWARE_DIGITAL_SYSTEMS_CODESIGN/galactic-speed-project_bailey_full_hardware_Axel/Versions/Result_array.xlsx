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galactic-speed-project\Versions\"/>
    </mc:Choice>
  </mc:AlternateContent>
  <xr:revisionPtr revIDLastSave="0" documentId="13_ncr:1_{034C0E34-2410-4BC3-8BCF-A841C7A99692}" xr6:coauthVersionLast="47" xr6:coauthVersionMax="47" xr10:uidLastSave="{00000000-0000-0000-0000-000000000000}"/>
  <bookViews>
    <workbookView xWindow="-103" yWindow="-103" windowWidth="22149" windowHeight="13200" xr2:uid="{E8BADEDA-4368-410C-B43D-F2F6F57FA0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7" i="1" l="1"/>
  <c r="L39" i="1"/>
  <c r="L41" i="1"/>
  <c r="L42" i="1"/>
  <c r="L44" i="1"/>
  <c r="L22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8" i="1"/>
  <c r="L40" i="1"/>
  <c r="L43" i="1"/>
  <c r="L45" i="1"/>
</calcChain>
</file>

<file path=xl/sharedStrings.xml><?xml version="1.0" encoding="utf-8"?>
<sst xmlns="http://schemas.openxmlformats.org/spreadsheetml/2006/main" count="124" uniqueCount="26">
  <si>
    <t>Name</t>
  </si>
  <si>
    <t>Description</t>
  </si>
  <si>
    <t>Frequency (MHz)</t>
  </si>
  <si>
    <t>LUTs</t>
  </si>
  <si>
    <t>FFs</t>
  </si>
  <si>
    <t>BRAMs</t>
  </si>
  <si>
    <t>DSPs</t>
  </si>
  <si>
    <t>Cost</t>
  </si>
  <si>
    <t>Pareto ? (Yes/No)</t>
  </si>
  <si>
    <t>-</t>
  </si>
  <si>
    <t>V0</t>
  </si>
  <si>
    <t>V1</t>
  </si>
  <si>
    <t>V2</t>
  </si>
  <si>
    <t>V3</t>
  </si>
  <si>
    <t>%CoreUtilization</t>
  </si>
  <si>
    <t>Config</t>
  </si>
  <si>
    <t>Bailey software-hardware</t>
  </si>
  <si>
    <t>Base-software</t>
  </si>
  <si>
    <t>Time tot (s)</t>
  </si>
  <si>
    <t>Time FFT (s)</t>
  </si>
  <si>
    <t>Energy FFT (J)</t>
  </si>
  <si>
    <t>Energy (J)</t>
  </si>
  <si>
    <t>SNR (dB)</t>
  </si>
  <si>
    <t>Bailey software-hardware with opti</t>
  </si>
  <si>
    <t>V4</t>
  </si>
  <si>
    <t>Bailey full 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</si>
</sst>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5" xfId="0" applyNumberFormat="1" applyBorder="1"/>
    <xf numFmtId="164" fontId="0" fillId="0" borderId="4" xfId="0" applyNumberFormat="1" applyBorder="1"/>
    <xf numFmtId="164" fontId="0" fillId="0" borderId="6" xfId="0" applyNumberFormat="1" applyBorder="1"/>
    <xf numFmtId="2" fontId="0" fillId="0" borderId="2" xfId="0" applyNumberFormat="1" applyBorder="1"/>
    <xf numFmtId="2" fontId="0" fillId="0" borderId="1" xfId="0" applyNumberFormat="1" applyBorder="1"/>
    <xf numFmtId="2" fontId="0" fillId="0" borderId="3" xfId="0" applyNumberFormat="1" applyBorder="1"/>
    <xf numFmtId="2" fontId="0" fillId="0" borderId="5" xfId="0" applyNumberFormat="1" applyBorder="1"/>
    <xf numFmtId="2" fontId="0" fillId="0" borderId="4" xfId="0" applyNumberFormat="1" applyBorder="1"/>
    <xf numFmtId="2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4" xfId="0" applyNumberFormat="1" applyBorder="1"/>
  </cellXfs>
  <cellStyles count="1">
    <cellStyle name="Normal" xfId="0" builtinId="0"/>
  </cellStyles>
  <dxfs count="16">
    <dxf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 style="thin">
          <color indexed="64"/>
        </left>
        <right style="thin">
          <color indexed="64"/>
        </right>
        <vertical/>
      </border>
    </dxf>
    <dxf>
      <numFmt numFmtId="2" formatCode="0.00"/>
      <border diagonalUp="0" diagonalDown="0">
        <left/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 outline="0">
        <left style="thin">
          <color indexed="64"/>
        </left>
        <right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vertical/>
      </border>
    </dxf>
    <dxf>
      <border diagonalUp="0" diagonalDown="0">
        <right style="thin">
          <color indexed="64"/>
        </right>
        <vertical/>
      </border>
    </dxf>
    <dxf>
      <border diagonalUp="0" diagonalDown="0">
        <left/>
        <right style="thin">
          <color indexed="64"/>
        </right>
        <vertic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CH"/>
              <a:t>Result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Sheet1!$A$2:$A$45</c:f>
              <c:strCache>
                <c:ptCount val="44"/>
                <c:pt idx="0">
                  <c:v>V0</c:v>
                </c:pt>
                <c:pt idx="1">
                  <c:v>V0</c:v>
                </c:pt>
                <c:pt idx="2">
                  <c:v>V0</c:v>
                </c:pt>
                <c:pt idx="3">
                  <c:v>V0</c:v>
                </c:pt>
                <c:pt idx="4">
                  <c:v>V0</c:v>
                </c:pt>
                <c:pt idx="5">
                  <c:v>V0</c:v>
                </c:pt>
                <c:pt idx="6">
                  <c:v>V0</c:v>
                </c:pt>
                <c:pt idx="7">
                  <c:v>V0</c:v>
                </c:pt>
                <c:pt idx="8">
                  <c:v>V0</c:v>
                </c:pt>
                <c:pt idx="9">
                  <c:v>V0</c:v>
                </c:pt>
                <c:pt idx="10">
                  <c:v>V1</c:v>
                </c:pt>
                <c:pt idx="11">
                  <c:v>V1</c:v>
                </c:pt>
                <c:pt idx="12">
                  <c:v>V1</c:v>
                </c:pt>
                <c:pt idx="13">
                  <c:v>V1</c:v>
                </c:pt>
                <c:pt idx="14">
                  <c:v>V1</c:v>
                </c:pt>
                <c:pt idx="15">
                  <c:v>V1</c:v>
                </c:pt>
                <c:pt idx="16">
                  <c:v>V1</c:v>
                </c:pt>
                <c:pt idx="17">
                  <c:v>V1</c:v>
                </c:pt>
                <c:pt idx="18">
                  <c:v>V1</c:v>
                </c:pt>
                <c:pt idx="19">
                  <c:v>V1</c:v>
                </c:pt>
                <c:pt idx="20">
                  <c:v>V2</c:v>
                </c:pt>
                <c:pt idx="21">
                  <c:v>V2</c:v>
                </c:pt>
                <c:pt idx="22">
                  <c:v>V2</c:v>
                </c:pt>
                <c:pt idx="23">
                  <c:v>V2</c:v>
                </c:pt>
                <c:pt idx="24">
                  <c:v>V2</c:v>
                </c:pt>
                <c:pt idx="25">
                  <c:v>V2</c:v>
                </c:pt>
                <c:pt idx="26">
                  <c:v>V2</c:v>
                </c:pt>
                <c:pt idx="27">
                  <c:v>V3</c:v>
                </c:pt>
                <c:pt idx="28">
                  <c:v>V3</c:v>
                </c:pt>
                <c:pt idx="29">
                  <c:v>V3</c:v>
                </c:pt>
                <c:pt idx="30">
                  <c:v>V3</c:v>
                </c:pt>
                <c:pt idx="31">
                  <c:v>V3</c:v>
                </c:pt>
                <c:pt idx="32">
                  <c:v>V3</c:v>
                </c:pt>
                <c:pt idx="33">
                  <c:v>V3</c:v>
                </c:pt>
                <c:pt idx="34">
                  <c:v>V4</c:v>
                </c:pt>
                <c:pt idx="35">
                  <c:v>V4</c:v>
                </c:pt>
                <c:pt idx="36">
                  <c:v>V4</c:v>
                </c:pt>
                <c:pt idx="37">
                  <c:v>V4</c:v>
                </c:pt>
                <c:pt idx="38">
                  <c:v>V4</c:v>
                </c:pt>
                <c:pt idx="39">
                  <c:v>V4</c:v>
                </c:pt>
                <c:pt idx="40">
                  <c:v>V4</c:v>
                </c:pt>
                <c:pt idx="41">
                  <c:v>V4</c:v>
                </c:pt>
                <c:pt idx="42">
                  <c:v>V4</c:v>
                </c:pt>
                <c:pt idx="43">
                  <c:v>V4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HW3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1"/>
                </c:ext>
                <c:ext xmlns:c16="http://schemas.microsoft.com/office/drawing/2014/chart" uri="{C3380CC4-5D6E-409C-BE32-E72D297353CC}">
                  <c16:uniqueId val="{00000001-FF7C-48A7-ADCF-23FC4E56DDDE}"/>
                </c:ext>
              </c:extLst>
            </c:dLbl>
            <c:dLbl>
              <c:idx val="1"/>
              <c:layout>
                <c:manualLayout>
                  <c:x val="-2.7153407532157479E-2"/>
                  <c:y val="2.806351438678643E-2"/>
                </c:manualLayout>
              </c:layout>
              <c:tx>
                <c:rich>
                  <a:bodyPr/>
                  <a:lstStyle/>
                  <a:p>
                    <a:fld id="{2C33976A-1052-4D87-AC8E-12E7375A9680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FF7C-48A7-ADCF-23FC4E56DDDE}"/>
                </c:ext>
              </c:extLst>
            </c:dLbl>
            <c:dLbl>
              <c:idx val="2"/>
              <c:layout>
                <c:manualLayout>
                  <c:x val="-3.0547583473677226E-2"/>
                  <c:y val="-3.7418019182381905E-2"/>
                </c:manualLayout>
              </c:layout>
              <c:tx>
                <c:rich>
                  <a:bodyPr/>
                  <a:lstStyle/>
                  <a:p>
                    <a:fld id="{0BD310E7-5D04-4038-B2B0-DCF34A999377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FF7C-48A7-ADCF-23FC4E56DDDE}"/>
                </c:ext>
              </c:extLst>
            </c:dLbl>
            <c:dLbl>
              <c:idx val="3"/>
              <c:layout>
                <c:manualLayout>
                  <c:x val="-1.8667967678358391E-2"/>
                  <c:y val="3.1181682651984809E-2"/>
                </c:manualLayout>
              </c:layout>
              <c:tx>
                <c:rich>
                  <a:bodyPr/>
                  <a:lstStyle/>
                  <a:p>
                    <a:fld id="{253DBBAF-9D08-45A3-BEA4-34B56867BF44}" type="CELLRANGE">
                      <a:rPr lang="en-US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FF7C-48A7-ADCF-23FC4E56DDDE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D3D3311-AA0D-449C-B4CE-71AB32980A40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FF7C-48A7-ADCF-23FC4E56DDDE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FD11E70-E755-422D-9248-C0549E77C6BE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FF7C-48A7-ADCF-23FC4E56DDDE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41AB986A-2E72-45D0-B837-E68F946E6E1E}" type="CELLRANGE">
                      <a:rPr lang="fr-CH"/>
                      <a:pPr/>
                      <a:t>[CELLRANGE]</a:t>
                    </a:fld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FF7C-48A7-ADCF-23FC4E56DDDE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FF7C-48A7-ADCF-23FC4E56DDDE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FF7C-48A7-ADCF-23FC4E56DDDE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FF7C-48A7-ADCF-23FC4E56DDDE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FF7C-48A7-ADCF-23FC4E56DDDE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FF7C-48A7-ADCF-23FC4E56DDDE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FF7C-48A7-ADCF-23FC4E56DDDE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FF7C-48A7-ADCF-23FC4E56DDDE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FF7C-48A7-ADCF-23FC4E56DDDE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BF87-443D-A6B8-C16085E78FB9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endParaRPr lang="fr-CH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BF87-443D-A6B8-C16085E78F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Sheet1!$L$2:$L$45</c:f>
              <c:numCache>
                <c:formatCode>0.00</c:formatCode>
                <c:ptCount val="17"/>
                <c:pt idx="0">
                  <c:v>49.757604237867398</c:v>
                </c:pt>
                <c:pt idx="1">
                  <c:v>49.673604237867394</c:v>
                </c:pt>
                <c:pt idx="2">
                  <c:v>49.583604237867398</c:v>
                </c:pt>
                <c:pt idx="3">
                  <c:v>49.757604237867398</c:v>
                </c:pt>
                <c:pt idx="4">
                  <c:v>49.757604237867398</c:v>
                </c:pt>
                <c:pt idx="5">
                  <c:v>49.757604237867398</c:v>
                </c:pt>
                <c:pt idx="6">
                  <c:v>49.757604237867398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xVal>
          <c:yVal>
            <c:numRef>
              <c:f>Sheet1!$E$2:$E$45</c:f>
              <c:numCache>
                <c:formatCode>General</c:formatCode>
                <c:ptCount val="17"/>
                <c:pt idx="0">
                  <c:v>14.840999999999999</c:v>
                </c:pt>
                <c:pt idx="1">
                  <c:v>15.569000000000001</c:v>
                </c:pt>
                <c:pt idx="2">
                  <c:v>16.405999999999999</c:v>
                </c:pt>
                <c:pt idx="3">
                  <c:v>16.824999999999999</c:v>
                </c:pt>
                <c:pt idx="4">
                  <c:v>17.079000000000001</c:v>
                </c:pt>
                <c:pt idx="5">
                  <c:v>19.059999999999999</c:v>
                </c:pt>
                <c:pt idx="6">
                  <c:v>26.38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Sheet1!$A$2:$A$45</c15:f>
                <c15:dlblRangeCache>
                  <c:ptCount val="17"/>
                  <c:pt idx="0">
                    <c:v>V3</c:v>
                  </c:pt>
                  <c:pt idx="1">
                    <c:v>V3</c:v>
                  </c:pt>
                  <c:pt idx="2">
                    <c:v>V3</c:v>
                  </c:pt>
                  <c:pt idx="3">
                    <c:v>V3</c:v>
                  </c:pt>
                  <c:pt idx="4">
                    <c:v>V3</c:v>
                  </c:pt>
                  <c:pt idx="5">
                    <c:v>V3</c:v>
                  </c:pt>
                  <c:pt idx="6">
                    <c:v>V3</c:v>
                  </c:pt>
                  <c:pt idx="7">
                    <c:v>V4</c:v>
                  </c:pt>
                  <c:pt idx="8">
                    <c:v>V4</c:v>
                  </c:pt>
                  <c:pt idx="9">
                    <c:v>V4</c:v>
                  </c:pt>
                  <c:pt idx="10">
                    <c:v>V4</c:v>
                  </c:pt>
                  <c:pt idx="11">
                    <c:v>V4</c:v>
                  </c:pt>
                  <c:pt idx="12">
                    <c:v>V4</c:v>
                  </c:pt>
                  <c:pt idx="13">
                    <c:v>V4</c:v>
                  </c:pt>
                  <c:pt idx="14">
                    <c:v>V4</c:v>
                  </c:pt>
                  <c:pt idx="15">
                    <c:v>V4</c:v>
                  </c:pt>
                  <c:pt idx="16">
                    <c:v>V4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FF7C-48A7-ADCF-23FC4E56DD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1657936"/>
        <c:axId val="971656016"/>
      </c:scatterChart>
      <c:valAx>
        <c:axId val="971657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Ressource</a:t>
                </a:r>
                <a:r>
                  <a:rPr lang="fr-CH" baseline="0"/>
                  <a:t> cost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656016"/>
        <c:crosses val="autoZero"/>
        <c:crossBetween val="midCat"/>
      </c:valAx>
      <c:valAx>
        <c:axId val="9716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H"/>
                  <a:t>Execution</a:t>
                </a:r>
                <a:r>
                  <a:rPr lang="fr-CH" baseline="0"/>
                  <a:t> time</a:t>
                </a:r>
                <a:endParaRPr lang="fr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CH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9716579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490207</xdr:colOff>
      <xdr:row>1</xdr:row>
      <xdr:rowOff>76059</xdr:rowOff>
    </xdr:from>
    <xdr:to>
      <xdr:col>28</xdr:col>
      <xdr:colOff>135900</xdr:colOff>
      <xdr:row>29</xdr:row>
      <xdr:rowOff>63618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558C3B-25E2-56CA-5F85-6BB9B61CAB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4BB4BA-9ADB-46E0-8023-4F32BB80993C}" name="Table1" displayName="Table1" ref="A1:P45" totalsRowShown="0">
  <autoFilter ref="A1:P45" xr:uid="{A34BB4BA-9ADB-46E0-8023-4F32BB80993C}"/>
  <tableColumns count="16">
    <tableColumn id="1" xr3:uid="{F0D4540A-EA98-4854-91F4-41AE5FABF909}" name="Name" dataDxfId="15"/>
    <tableColumn id="14" xr3:uid="{73ADAAEF-89F2-484C-AFAD-E7301BA40D36}" name="Config" dataDxfId="14"/>
    <tableColumn id="2" xr3:uid="{BAFBFF65-56DB-4A22-B12D-A9F4BF59493D}" name="Description" dataDxfId="13"/>
    <tableColumn id="15" xr3:uid="{8D1F8151-FC11-49B9-A0BB-A19DAD3FF211}" name="Time FFT (s)" dataDxfId="12"/>
    <tableColumn id="3" xr3:uid="{3CE67481-8F57-41D3-9EB9-BA9156BFFB6F}" name="Time tot (s)" dataDxfId="11"/>
    <tableColumn id="4" xr3:uid="{05CF8334-8F26-4E24-9102-BCD730DDA268}" name="Frequency (MHz)" dataDxfId="10"/>
    <tableColumn id="11" xr3:uid="{15869923-2866-4546-AA20-C1E826523C84}" name="%CoreUtilization" dataDxfId="9"/>
    <tableColumn id="5" xr3:uid="{97F7E6DD-7389-481B-8512-4C5B1F120B1F}" name="LUTs" dataDxfId="8"/>
    <tableColumn id="6" xr3:uid="{4DE7973B-20A3-449F-862A-9D3A773C4A52}" name="FFs" dataDxfId="7"/>
    <tableColumn id="7" xr3:uid="{2FECC22C-4842-4E59-A5DC-1CA0F50922FC}" name="BRAMs" dataDxfId="6"/>
    <tableColumn id="8" xr3:uid="{AF8CB4DA-470A-4E6B-BD51-E0EA225BE76D}" name="DSPs" dataDxfId="5"/>
    <tableColumn id="9" xr3:uid="{9EBB130D-74D6-4A1F-8211-434976969632}" name="Cost" dataDxfId="4">
      <calculatedColumnFormula>20/140*Table1[[#This Row],[BRAMs]]+20/220*Table1[[#This Row],[DSPs]]+20/53200*Table1[[#This Row],[LUTs]]+20/106400*Table1[[#This Row],[FFs]]+Table1[[#This Row],[%CoreUtilization]]*20/100</calculatedColumnFormula>
    </tableColumn>
    <tableColumn id="16" xr3:uid="{C40642C9-3B85-412E-A8BF-294F3062B8C8}" name="Energy FFT (J)" dataDxfId="3"/>
    <tableColumn id="13" xr3:uid="{0EFDBCFA-CC59-42CD-89AB-C490BA153E61}" name="Energy (J)" dataDxfId="2"/>
    <tableColumn id="12" xr3:uid="{3E3EF17D-B4A0-4137-8A44-21A1AB8C052A}" name="SNR (dB)" dataDxfId="1"/>
    <tableColumn id="10" xr3:uid="{3CF280B7-88D3-41A6-BB89-F9033A2755E3}" name="Pareto ? (Yes/No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AC968-8A26-4ADE-A08E-1961AC4E6618}">
  <dimension ref="A1:P45"/>
  <sheetViews>
    <sheetView tabSelected="1" zoomScale="70" zoomScaleNormal="70" workbookViewId="0">
      <selection activeCell="J53" sqref="J53"/>
    </sheetView>
  </sheetViews>
  <sheetFormatPr defaultRowHeight="14.6" x14ac:dyDescent="0.4"/>
  <cols>
    <col min="1" max="1" width="7.4609375" customWidth="1"/>
    <col min="2" max="2" width="8.84375" style="1" customWidth="1"/>
    <col min="3" max="3" width="31.61328125" style="4" customWidth="1"/>
    <col min="4" max="4" width="13.53515625" style="4" customWidth="1"/>
    <col min="5" max="5" width="12.61328125" style="4" customWidth="1"/>
    <col min="6" max="6" width="17.15234375" style="4" customWidth="1"/>
    <col min="7" max="7" width="17.23046875" style="4" customWidth="1"/>
    <col min="8" max="8" width="8.61328125" style="4" customWidth="1"/>
    <col min="9" max="9" width="7.61328125" style="4" customWidth="1"/>
    <col min="10" max="10" width="9.84375" style="4" customWidth="1"/>
    <col min="11" max="11" width="7.4609375" style="4" customWidth="1"/>
    <col min="12" max="12" width="8.15234375" style="1" customWidth="1"/>
    <col min="13" max="13" width="12.07421875" style="4" customWidth="1"/>
    <col min="14" max="14" width="11.53515625" style="4" customWidth="1"/>
    <col min="15" max="15" width="10.61328125" style="4" customWidth="1"/>
    <col min="16" max="16" width="9.23046875" style="4"/>
  </cols>
  <sheetData>
    <row r="1" spans="1:16" ht="15" thickBot="1" x14ac:dyDescent="0.45">
      <c r="A1" s="1" t="s">
        <v>0</v>
      </c>
      <c r="B1" s="1" t="s">
        <v>15</v>
      </c>
      <c r="C1" s="4" t="s">
        <v>1</v>
      </c>
      <c r="D1" s="4" t="s">
        <v>19</v>
      </c>
      <c r="E1" s="4" t="s">
        <v>18</v>
      </c>
      <c r="F1" s="4" t="s">
        <v>2</v>
      </c>
      <c r="G1" s="4" t="s">
        <v>14</v>
      </c>
      <c r="H1" s="4" t="s">
        <v>3</v>
      </c>
      <c r="I1" s="4" t="s">
        <v>4</v>
      </c>
      <c r="J1" s="4" t="s">
        <v>5</v>
      </c>
      <c r="K1" s="4" t="s">
        <v>6</v>
      </c>
      <c r="L1" s="1" t="s">
        <v>7</v>
      </c>
      <c r="M1" s="4" t="s">
        <v>20</v>
      </c>
      <c r="N1" s="4" t="s">
        <v>21</v>
      </c>
      <c r="O1" s="4" t="s">
        <v>22</v>
      </c>
      <c r="P1" s="4" t="s">
        <v>8</v>
      </c>
    </row>
    <row r="2" spans="1:16" hidden="1" x14ac:dyDescent="0.4">
      <c r="A2" s="2" t="s">
        <v>10</v>
      </c>
      <c r="B2" s="2">
        <v>0</v>
      </c>
      <c r="C2" s="5" t="s">
        <v>17</v>
      </c>
      <c r="D2" s="5">
        <v>14.414</v>
      </c>
      <c r="E2" s="4">
        <v>19.425000000000001</v>
      </c>
      <c r="F2" s="5" t="s">
        <v>9</v>
      </c>
      <c r="G2" s="13">
        <v>100</v>
      </c>
      <c r="H2" s="5">
        <v>0</v>
      </c>
      <c r="I2" s="5">
        <v>0</v>
      </c>
      <c r="J2" s="5">
        <v>0</v>
      </c>
      <c r="K2" s="5">
        <v>0</v>
      </c>
      <c r="L2" s="10">
        <f>20/140*Table1[[#This Row],[BRAMs]]+20/220*Table1[[#This Row],[DSPs]]+20/53200*Table1[[#This Row],[LUTs]]+20/106400*Table1[[#This Row],[FFs]]+Table1[[#This Row],[%CoreUtilization]]*20/100</f>
        <v>20</v>
      </c>
      <c r="M2" s="13">
        <v>27.702999999999999</v>
      </c>
      <c r="N2" s="14">
        <v>37.392000000000003</v>
      </c>
      <c r="O2" s="13">
        <v>128.4</v>
      </c>
      <c r="P2" s="5"/>
    </row>
    <row r="3" spans="1:16" hidden="1" x14ac:dyDescent="0.4">
      <c r="A3" s="1" t="s">
        <v>10</v>
      </c>
      <c r="B3" s="1">
        <v>1</v>
      </c>
      <c r="C3" s="4" t="s">
        <v>17</v>
      </c>
      <c r="D3" s="4">
        <v>17.061</v>
      </c>
      <c r="E3" s="4">
        <v>22.335999999999999</v>
      </c>
      <c r="F3" s="4" t="s">
        <v>9</v>
      </c>
      <c r="G3" s="14">
        <v>100</v>
      </c>
      <c r="H3" s="4">
        <v>0</v>
      </c>
      <c r="I3" s="4">
        <v>0</v>
      </c>
      <c r="J3" s="4">
        <v>0</v>
      </c>
      <c r="K3" s="4">
        <v>0</v>
      </c>
      <c r="L3" s="11">
        <f>20/140*Table1[[#This Row],[BRAMs]]+20/220*Table1[[#This Row],[DSPs]]+20/53200*Table1[[#This Row],[LUTs]]+20/106400*Table1[[#This Row],[FFs]]+Table1[[#This Row],[%CoreUtilization]]*20/100</f>
        <v>20</v>
      </c>
      <c r="M3" s="14">
        <v>33.411000000000001</v>
      </c>
      <c r="N3" s="14">
        <v>43.304000000000002</v>
      </c>
      <c r="O3" s="14">
        <v>130.80000000000001</v>
      </c>
    </row>
    <row r="4" spans="1:16" hidden="1" x14ac:dyDescent="0.4">
      <c r="A4" s="1" t="s">
        <v>10</v>
      </c>
      <c r="B4" s="1">
        <v>2</v>
      </c>
      <c r="C4" s="4" t="s">
        <v>17</v>
      </c>
      <c r="D4" s="4">
        <v>22.445</v>
      </c>
      <c r="E4" s="4">
        <v>27.882999999999999</v>
      </c>
      <c r="F4" s="4" t="s">
        <v>9</v>
      </c>
      <c r="G4" s="14">
        <v>100</v>
      </c>
      <c r="H4" s="4">
        <v>0</v>
      </c>
      <c r="I4" s="4">
        <v>0</v>
      </c>
      <c r="J4" s="4">
        <v>0</v>
      </c>
      <c r="K4" s="4">
        <v>0</v>
      </c>
      <c r="L4" s="11">
        <f>20/140*Table1[[#This Row],[BRAMs]]+20/220*Table1[[#This Row],[DSPs]]+20/53200*Table1[[#This Row],[LUTs]]+20/106400*Table1[[#This Row],[FFs]]+Table1[[#This Row],[%CoreUtilization]]*20/100</f>
        <v>20</v>
      </c>
      <c r="M4" s="14">
        <v>45.72</v>
      </c>
      <c r="N4" s="14">
        <v>56.664999999999999</v>
      </c>
      <c r="O4" s="14">
        <v>131.59800000000001</v>
      </c>
    </row>
    <row r="5" spans="1:16" hidden="1" x14ac:dyDescent="0.4">
      <c r="A5" s="1" t="s">
        <v>10</v>
      </c>
      <c r="B5" s="1">
        <v>3</v>
      </c>
      <c r="C5" s="4" t="s">
        <v>17</v>
      </c>
      <c r="D5" s="4">
        <v>25.117000000000001</v>
      </c>
      <c r="E5" s="4">
        <v>31.175000000000001</v>
      </c>
      <c r="F5" s="4" t="s">
        <v>9</v>
      </c>
      <c r="G5" s="14">
        <v>100</v>
      </c>
      <c r="H5" s="4">
        <v>0</v>
      </c>
      <c r="I5" s="4">
        <v>0</v>
      </c>
      <c r="J5" s="4">
        <v>0</v>
      </c>
      <c r="K5" s="4">
        <v>0</v>
      </c>
      <c r="L5" s="11">
        <f>20/140*Table1[[#This Row],[BRAMs]]+20/220*Table1[[#This Row],[DSPs]]+20/53200*Table1[[#This Row],[LUTs]]+20/106400*Table1[[#This Row],[FFs]]+Table1[[#This Row],[%CoreUtilization]]*20/100</f>
        <v>20</v>
      </c>
      <c r="M5" s="14">
        <v>51.64</v>
      </c>
      <c r="N5" s="14">
        <v>63.683999999999997</v>
      </c>
      <c r="O5" s="14">
        <v>134.19999999999999</v>
      </c>
    </row>
    <row r="6" spans="1:16" hidden="1" x14ac:dyDescent="0.4">
      <c r="A6" s="1" t="s">
        <v>10</v>
      </c>
      <c r="B6" s="1">
        <v>4</v>
      </c>
      <c r="C6" s="4" t="s">
        <v>17</v>
      </c>
      <c r="D6" s="4">
        <v>28.215</v>
      </c>
      <c r="E6" s="4">
        <v>34.552</v>
      </c>
      <c r="F6" s="4" t="s">
        <v>9</v>
      </c>
      <c r="G6" s="14">
        <v>100</v>
      </c>
      <c r="H6" s="4">
        <v>0</v>
      </c>
      <c r="I6" s="4">
        <v>0</v>
      </c>
      <c r="J6" s="4">
        <v>0</v>
      </c>
      <c r="K6" s="4">
        <v>0</v>
      </c>
      <c r="L6" s="11">
        <f>20/140*Table1[[#This Row],[BRAMs]]+20/220*Table1[[#This Row],[DSPs]]+20/53200*Table1[[#This Row],[LUTs]]+20/106400*Table1[[#This Row],[FFs]]+Table1[[#This Row],[%CoreUtilization]]*20/100</f>
        <v>20</v>
      </c>
      <c r="M6" s="14">
        <v>58.527000000000001</v>
      </c>
      <c r="N6" s="14">
        <v>71.212000000000003</v>
      </c>
      <c r="O6" s="14">
        <v>127</v>
      </c>
    </row>
    <row r="7" spans="1:16" hidden="1" x14ac:dyDescent="0.4">
      <c r="A7" s="1" t="s">
        <v>10</v>
      </c>
      <c r="B7" s="1">
        <v>5</v>
      </c>
      <c r="C7" s="4" t="s">
        <v>17</v>
      </c>
      <c r="D7" s="4">
        <v>35.088000000000001</v>
      </c>
      <c r="E7" s="4">
        <v>42.814999999999998</v>
      </c>
      <c r="F7" s="4" t="s">
        <v>9</v>
      </c>
      <c r="G7" s="14">
        <v>100</v>
      </c>
      <c r="H7" s="4">
        <v>0</v>
      </c>
      <c r="I7" s="4">
        <v>0</v>
      </c>
      <c r="J7" s="4">
        <v>0</v>
      </c>
      <c r="K7" s="4">
        <v>0</v>
      </c>
      <c r="L7" s="11">
        <f>20/140*Table1[[#This Row],[BRAMs]]+20/220*Table1[[#This Row],[DSPs]]+20/53200*Table1[[#This Row],[LUTs]]+20/106400*Table1[[#This Row],[FFs]]+Table1[[#This Row],[%CoreUtilization]]*20/100</f>
        <v>20</v>
      </c>
      <c r="M7" s="14">
        <v>74.896000000000001</v>
      </c>
      <c r="N7" s="14">
        <v>90.314999999999998</v>
      </c>
      <c r="O7" s="14">
        <v>126.9</v>
      </c>
    </row>
    <row r="8" spans="1:16" hidden="1" x14ac:dyDescent="0.4">
      <c r="A8" s="1" t="s">
        <v>10</v>
      </c>
      <c r="B8" s="1">
        <v>6</v>
      </c>
      <c r="C8" s="4" t="s">
        <v>17</v>
      </c>
      <c r="D8" s="4">
        <v>55.651000000000003</v>
      </c>
      <c r="E8" s="4">
        <v>69.325999999999993</v>
      </c>
      <c r="F8" s="4" t="s">
        <v>9</v>
      </c>
      <c r="G8" s="14">
        <v>100</v>
      </c>
      <c r="H8" s="4">
        <v>0</v>
      </c>
      <c r="I8" s="4">
        <v>0</v>
      </c>
      <c r="J8" s="4">
        <v>0</v>
      </c>
      <c r="K8" s="4">
        <v>0</v>
      </c>
      <c r="L8" s="11">
        <f>20/140*Table1[[#This Row],[BRAMs]]+20/220*Table1[[#This Row],[DSPs]]+20/53200*Table1[[#This Row],[LUTs]]+20/106400*Table1[[#This Row],[FFs]]+Table1[[#This Row],[%CoreUtilization]]*20/100</f>
        <v>20</v>
      </c>
      <c r="M8" s="14">
        <v>122.08</v>
      </c>
      <c r="N8" s="14">
        <v>149.001</v>
      </c>
      <c r="O8" s="14">
        <v>136.4</v>
      </c>
    </row>
    <row r="9" spans="1:16" hidden="1" x14ac:dyDescent="0.4">
      <c r="A9" s="1" t="s">
        <v>10</v>
      </c>
      <c r="B9" s="1">
        <v>7</v>
      </c>
      <c r="C9" s="4" t="s">
        <v>17</v>
      </c>
      <c r="D9" s="4">
        <v>62.56</v>
      </c>
      <c r="E9" s="4">
        <v>112.19799999999999</v>
      </c>
      <c r="F9" s="4" t="s">
        <v>9</v>
      </c>
      <c r="G9" s="14">
        <v>100</v>
      </c>
      <c r="H9" s="4">
        <v>0</v>
      </c>
      <c r="I9" s="4">
        <v>0</v>
      </c>
      <c r="J9" s="4">
        <v>0</v>
      </c>
      <c r="K9" s="4">
        <v>0</v>
      </c>
      <c r="L9" s="11">
        <f>20/140*Table1[[#This Row],[BRAMs]]+20/220*Table1[[#This Row],[DSPs]]+20/53200*Table1[[#This Row],[LUTs]]+20/106400*Table1[[#This Row],[FFs]]+Table1[[#This Row],[%CoreUtilization]]*20/100</f>
        <v>20</v>
      </c>
      <c r="M9" s="14">
        <v>138.715</v>
      </c>
      <c r="N9" s="14">
        <v>235.39500000000001</v>
      </c>
      <c r="O9" s="14">
        <v>123</v>
      </c>
    </row>
    <row r="10" spans="1:16" hidden="1" x14ac:dyDescent="0.4">
      <c r="A10" s="1" t="s">
        <v>10</v>
      </c>
      <c r="B10" s="1">
        <v>8</v>
      </c>
      <c r="C10" s="4" t="s">
        <v>17</v>
      </c>
      <c r="D10" s="4">
        <v>69.659000000000006</v>
      </c>
      <c r="E10" s="4">
        <v>206.95099999999999</v>
      </c>
      <c r="F10" s="4" t="s">
        <v>9</v>
      </c>
      <c r="G10" s="14">
        <v>100</v>
      </c>
      <c r="H10" s="4">
        <v>0</v>
      </c>
      <c r="I10" s="4">
        <v>0</v>
      </c>
      <c r="J10" s="4">
        <v>0</v>
      </c>
      <c r="K10" s="4">
        <v>0</v>
      </c>
      <c r="L10" s="11">
        <f>20/140*Table1[[#This Row],[BRAMs]]+20/220*Table1[[#This Row],[DSPs]]+20/53200*Table1[[#This Row],[LUTs]]+20/106400*Table1[[#This Row],[FFs]]+Table1[[#This Row],[%CoreUtilization]]*20/100</f>
        <v>20</v>
      </c>
      <c r="M10" s="14">
        <v>151.81200000000001</v>
      </c>
      <c r="N10" s="14">
        <v>416.36900000000003</v>
      </c>
      <c r="O10" s="14">
        <v>119.7</v>
      </c>
    </row>
    <row r="11" spans="1:16" ht="15" hidden="1" thickBot="1" x14ac:dyDescent="0.45">
      <c r="A11" s="3" t="s">
        <v>10</v>
      </c>
      <c r="B11" s="3">
        <v>9</v>
      </c>
      <c r="C11" s="6" t="s">
        <v>17</v>
      </c>
      <c r="D11" s="4">
        <v>72.864999999999995</v>
      </c>
      <c r="E11" s="4">
        <v>630.64800000000002</v>
      </c>
      <c r="F11" s="6" t="s">
        <v>9</v>
      </c>
      <c r="G11" s="15">
        <v>100</v>
      </c>
      <c r="H11" s="6">
        <v>0</v>
      </c>
      <c r="I11" s="6">
        <v>0</v>
      </c>
      <c r="J11" s="6">
        <v>0</v>
      </c>
      <c r="K11" s="6">
        <v>0</v>
      </c>
      <c r="L11" s="12">
        <f>20/140*Table1[[#This Row],[BRAMs]]+20/220*Table1[[#This Row],[DSPs]]+20/53200*Table1[[#This Row],[LUTs]]+20/106400*Table1[[#This Row],[FFs]]+Table1[[#This Row],[%CoreUtilization]]*20/100</f>
        <v>20</v>
      </c>
      <c r="M11" s="14">
        <v>158.821</v>
      </c>
      <c r="N11" s="14">
        <v>1231.2719999999999</v>
      </c>
      <c r="O11" s="15">
        <v>126.3</v>
      </c>
      <c r="P11" s="6"/>
    </row>
    <row r="12" spans="1:16" hidden="1" x14ac:dyDescent="0.4">
      <c r="A12" s="2" t="s">
        <v>11</v>
      </c>
      <c r="B12" s="2">
        <v>0</v>
      </c>
      <c r="C12" s="5"/>
      <c r="D12" s="5"/>
      <c r="E12" s="5"/>
      <c r="F12" s="5" t="s">
        <v>9</v>
      </c>
      <c r="G12" s="13">
        <v>100</v>
      </c>
      <c r="H12" s="5">
        <v>0</v>
      </c>
      <c r="I12" s="5">
        <v>0</v>
      </c>
      <c r="J12" s="5">
        <v>0</v>
      </c>
      <c r="K12" s="5">
        <v>0</v>
      </c>
      <c r="L12" s="10">
        <f>20/140*Table1[[#This Row],[BRAMs]]+20/220*Table1[[#This Row],[DSPs]]+20/53200*Table1[[#This Row],[LUTs]]+20/106400*Table1[[#This Row],[FFs]]+Table1[[#This Row],[%CoreUtilization]]*20/100</f>
        <v>20</v>
      </c>
      <c r="M12" s="13"/>
      <c r="N12" s="13"/>
      <c r="O12" s="13"/>
      <c r="P12" s="5"/>
    </row>
    <row r="13" spans="1:16" hidden="1" x14ac:dyDescent="0.4">
      <c r="A13" s="1" t="s">
        <v>11</v>
      </c>
      <c r="B13" s="1">
        <v>1</v>
      </c>
      <c r="F13" s="4" t="s">
        <v>9</v>
      </c>
      <c r="G13" s="14">
        <v>100</v>
      </c>
      <c r="H13" s="4">
        <v>0</v>
      </c>
      <c r="I13" s="4">
        <v>0</v>
      </c>
      <c r="J13" s="4">
        <v>0</v>
      </c>
      <c r="K13" s="4">
        <v>0</v>
      </c>
      <c r="L13" s="11">
        <f>20/140*Table1[[#This Row],[BRAMs]]+20/220*Table1[[#This Row],[DSPs]]+20/53200*Table1[[#This Row],[LUTs]]+20/106400*Table1[[#This Row],[FFs]]+Table1[[#This Row],[%CoreUtilization]]*20/100</f>
        <v>20</v>
      </c>
      <c r="M13" s="14"/>
      <c r="N13" s="14"/>
      <c r="O13" s="14"/>
    </row>
    <row r="14" spans="1:16" hidden="1" x14ac:dyDescent="0.4">
      <c r="A14" s="1" t="s">
        <v>11</v>
      </c>
      <c r="B14" s="1">
        <v>2</v>
      </c>
      <c r="F14" s="4" t="s">
        <v>9</v>
      </c>
      <c r="G14" s="14">
        <v>100</v>
      </c>
      <c r="H14" s="4">
        <v>0</v>
      </c>
      <c r="I14" s="4">
        <v>0</v>
      </c>
      <c r="J14" s="4">
        <v>0</v>
      </c>
      <c r="K14" s="4">
        <v>0</v>
      </c>
      <c r="L14" s="11">
        <f>20/140*Table1[[#This Row],[BRAMs]]+20/220*Table1[[#This Row],[DSPs]]+20/53200*Table1[[#This Row],[LUTs]]+20/106400*Table1[[#This Row],[FFs]]+Table1[[#This Row],[%CoreUtilization]]*20/100</f>
        <v>20</v>
      </c>
      <c r="M14" s="14"/>
      <c r="N14" s="14"/>
      <c r="O14" s="14"/>
    </row>
    <row r="15" spans="1:16" hidden="1" x14ac:dyDescent="0.4">
      <c r="A15" s="1" t="s">
        <v>11</v>
      </c>
      <c r="B15" s="1">
        <v>3</v>
      </c>
      <c r="F15" s="4" t="s">
        <v>9</v>
      </c>
      <c r="G15" s="14">
        <v>100</v>
      </c>
      <c r="H15" s="4">
        <v>0</v>
      </c>
      <c r="I15" s="4">
        <v>0</v>
      </c>
      <c r="J15" s="4">
        <v>0</v>
      </c>
      <c r="K15" s="4">
        <v>0</v>
      </c>
      <c r="L15" s="11">
        <f>20/140*Table1[[#This Row],[BRAMs]]+20/220*Table1[[#This Row],[DSPs]]+20/53200*Table1[[#This Row],[LUTs]]+20/106400*Table1[[#This Row],[FFs]]+Table1[[#This Row],[%CoreUtilization]]*20/100</f>
        <v>20</v>
      </c>
      <c r="M15" s="14"/>
      <c r="N15" s="14"/>
      <c r="O15" s="14"/>
    </row>
    <row r="16" spans="1:16" hidden="1" x14ac:dyDescent="0.4">
      <c r="A16" s="1" t="s">
        <v>11</v>
      </c>
      <c r="B16" s="1">
        <v>4</v>
      </c>
      <c r="F16" s="4" t="s">
        <v>9</v>
      </c>
      <c r="G16" s="14">
        <v>100</v>
      </c>
      <c r="H16" s="4">
        <v>0</v>
      </c>
      <c r="I16" s="4">
        <v>0</v>
      </c>
      <c r="J16" s="4">
        <v>0</v>
      </c>
      <c r="K16" s="4">
        <v>0</v>
      </c>
      <c r="L16" s="11">
        <f>20/140*Table1[[#This Row],[BRAMs]]+20/220*Table1[[#This Row],[DSPs]]+20/53200*Table1[[#This Row],[LUTs]]+20/106400*Table1[[#This Row],[FFs]]+Table1[[#This Row],[%CoreUtilization]]*20/100</f>
        <v>20</v>
      </c>
      <c r="M16" s="14"/>
      <c r="N16" s="14"/>
      <c r="O16" s="14"/>
    </row>
    <row r="17" spans="1:16" hidden="1" x14ac:dyDescent="0.4">
      <c r="A17" s="1" t="s">
        <v>11</v>
      </c>
      <c r="B17" s="1">
        <v>5</v>
      </c>
      <c r="F17" s="4" t="s">
        <v>9</v>
      </c>
      <c r="G17" s="14">
        <v>100</v>
      </c>
      <c r="H17" s="4">
        <v>0</v>
      </c>
      <c r="I17" s="4">
        <v>0</v>
      </c>
      <c r="J17" s="4">
        <v>0</v>
      </c>
      <c r="K17" s="4">
        <v>0</v>
      </c>
      <c r="L17" s="11">
        <f>20/140*Table1[[#This Row],[BRAMs]]+20/220*Table1[[#This Row],[DSPs]]+20/53200*Table1[[#This Row],[LUTs]]+20/106400*Table1[[#This Row],[FFs]]+Table1[[#This Row],[%CoreUtilization]]*20/100</f>
        <v>20</v>
      </c>
      <c r="M17" s="14"/>
      <c r="N17" s="14"/>
      <c r="O17" s="14"/>
    </row>
    <row r="18" spans="1:16" hidden="1" x14ac:dyDescent="0.4">
      <c r="A18" s="1" t="s">
        <v>11</v>
      </c>
      <c r="B18" s="1">
        <v>6</v>
      </c>
      <c r="F18" s="4" t="s">
        <v>9</v>
      </c>
      <c r="G18" s="14">
        <v>100</v>
      </c>
      <c r="H18" s="4">
        <v>0</v>
      </c>
      <c r="I18" s="4">
        <v>0</v>
      </c>
      <c r="J18" s="4">
        <v>0</v>
      </c>
      <c r="K18" s="4">
        <v>0</v>
      </c>
      <c r="L18" s="11">
        <f>20/140*Table1[[#This Row],[BRAMs]]+20/220*Table1[[#This Row],[DSPs]]+20/53200*Table1[[#This Row],[LUTs]]+20/106400*Table1[[#This Row],[FFs]]+Table1[[#This Row],[%CoreUtilization]]*20/100</f>
        <v>20</v>
      </c>
      <c r="M18" s="14"/>
      <c r="N18" s="14"/>
      <c r="O18" s="14"/>
    </row>
    <row r="19" spans="1:16" hidden="1" x14ac:dyDescent="0.4">
      <c r="A19" s="1" t="s">
        <v>11</v>
      </c>
      <c r="B19" s="1">
        <v>7</v>
      </c>
      <c r="F19" s="4" t="s">
        <v>9</v>
      </c>
      <c r="G19" s="14">
        <v>100</v>
      </c>
      <c r="H19" s="4">
        <v>0</v>
      </c>
      <c r="I19" s="4">
        <v>0</v>
      </c>
      <c r="J19" s="4">
        <v>0</v>
      </c>
      <c r="K19" s="4">
        <v>0</v>
      </c>
      <c r="L19" s="11">
        <f>20/140*Table1[[#This Row],[BRAMs]]+20/220*Table1[[#This Row],[DSPs]]+20/53200*Table1[[#This Row],[LUTs]]+20/106400*Table1[[#This Row],[FFs]]+Table1[[#This Row],[%CoreUtilization]]*20/100</f>
        <v>20</v>
      </c>
      <c r="M19" s="14"/>
      <c r="N19" s="14"/>
      <c r="O19" s="14"/>
    </row>
    <row r="20" spans="1:16" hidden="1" x14ac:dyDescent="0.4">
      <c r="A20" s="1" t="s">
        <v>11</v>
      </c>
      <c r="B20" s="1">
        <v>8</v>
      </c>
      <c r="F20" s="4" t="s">
        <v>9</v>
      </c>
      <c r="G20" s="14">
        <v>100</v>
      </c>
      <c r="H20" s="4">
        <v>0</v>
      </c>
      <c r="I20" s="4">
        <v>0</v>
      </c>
      <c r="J20" s="4">
        <v>0</v>
      </c>
      <c r="K20" s="4">
        <v>0</v>
      </c>
      <c r="L20" s="11">
        <f>20/140*Table1[[#This Row],[BRAMs]]+20/220*Table1[[#This Row],[DSPs]]+20/53200*Table1[[#This Row],[LUTs]]+20/106400*Table1[[#This Row],[FFs]]+Table1[[#This Row],[%CoreUtilization]]*20/100</f>
        <v>20</v>
      </c>
      <c r="M20" s="14"/>
      <c r="N20" s="14"/>
      <c r="O20" s="14"/>
    </row>
    <row r="21" spans="1:16" ht="15" hidden="1" thickBot="1" x14ac:dyDescent="0.45">
      <c r="A21" s="3" t="s">
        <v>11</v>
      </c>
      <c r="B21" s="3">
        <v>9</v>
      </c>
      <c r="C21" s="6"/>
      <c r="D21" s="6"/>
      <c r="E21" s="6"/>
      <c r="F21" s="6" t="s">
        <v>9</v>
      </c>
      <c r="G21" s="15">
        <v>100</v>
      </c>
      <c r="H21" s="6">
        <v>0</v>
      </c>
      <c r="I21" s="6">
        <v>0</v>
      </c>
      <c r="J21" s="6">
        <v>0</v>
      </c>
      <c r="K21" s="6">
        <v>0</v>
      </c>
      <c r="L21" s="12">
        <f>20/140*Table1[[#This Row],[BRAMs]]+20/220*Table1[[#This Row],[DSPs]]+20/53200*Table1[[#This Row],[LUTs]]+20/106400*Table1[[#This Row],[FFs]]+Table1[[#This Row],[%CoreUtilization]]*20/100</f>
        <v>20</v>
      </c>
      <c r="M21" s="15"/>
      <c r="N21" s="15"/>
      <c r="O21" s="15"/>
      <c r="P21" s="6"/>
    </row>
    <row r="22" spans="1:16" hidden="1" x14ac:dyDescent="0.4">
      <c r="A22" s="2" t="s">
        <v>12</v>
      </c>
      <c r="B22" s="2">
        <v>0</v>
      </c>
      <c r="C22" s="5" t="s">
        <v>16</v>
      </c>
      <c r="D22" s="7">
        <v>27.281235918</v>
      </c>
      <c r="E22" s="7">
        <v>32.024951354999999</v>
      </c>
      <c r="F22" s="5">
        <v>100</v>
      </c>
      <c r="G22" s="13">
        <v>96.65</v>
      </c>
      <c r="H22" s="5">
        <v>17766</v>
      </c>
      <c r="I22" s="5">
        <v>15936</v>
      </c>
      <c r="J22" s="5">
        <v>66.5</v>
      </c>
      <c r="K22" s="5">
        <v>128</v>
      </c>
      <c r="L22" s="10">
        <f>20/140*Table1[[#This Row],[BRAMs]]+20/220*Table1[[#This Row],[DSPs]]+20/53200*Table1[[#This Row],[LUTs]]+20/106400*Table1[[#This Row],[FFs]]+Table1[[#This Row],[%CoreUtilization]]*20/100</f>
        <v>50.140799726589201</v>
      </c>
      <c r="M22" s="13">
        <v>52.796999999999997</v>
      </c>
      <c r="N22" s="13">
        <v>61.93</v>
      </c>
      <c r="O22" s="13">
        <v>135.024</v>
      </c>
      <c r="P22" s="5"/>
    </row>
    <row r="23" spans="1:16" hidden="1" x14ac:dyDescent="0.4">
      <c r="A23" s="1" t="s">
        <v>12</v>
      </c>
      <c r="B23" s="1">
        <v>1</v>
      </c>
      <c r="C23" s="4" t="s">
        <v>16</v>
      </c>
      <c r="D23" s="8">
        <v>21.709978614000001</v>
      </c>
      <c r="E23" s="8">
        <v>26.817586671000001</v>
      </c>
      <c r="F23" s="4">
        <v>100</v>
      </c>
      <c r="G23" s="14">
        <v>96.45</v>
      </c>
      <c r="H23" s="4">
        <v>17766</v>
      </c>
      <c r="I23" s="4">
        <v>15936</v>
      </c>
      <c r="J23" s="4">
        <v>66.5</v>
      </c>
      <c r="K23" s="4">
        <v>128</v>
      </c>
      <c r="L23" s="11">
        <f>20/140*Table1[[#This Row],[BRAMs]]+20/220*Table1[[#This Row],[DSPs]]+20/53200*Table1[[#This Row],[LUTs]]+20/106400*Table1[[#This Row],[FFs]]+Table1[[#This Row],[%CoreUtilization]]*20/100</f>
        <v>50.100799726589202</v>
      </c>
      <c r="M23" s="14">
        <v>42.98</v>
      </c>
      <c r="N23" s="14">
        <v>52.107999999999997</v>
      </c>
      <c r="O23" s="14">
        <v>128.27099999999999</v>
      </c>
    </row>
    <row r="24" spans="1:16" hidden="1" x14ac:dyDescent="0.4">
      <c r="A24" s="1" t="s">
        <v>12</v>
      </c>
      <c r="B24" s="1">
        <v>2</v>
      </c>
      <c r="C24" s="4" t="s">
        <v>16</v>
      </c>
      <c r="D24" s="8">
        <v>18.921001140000001</v>
      </c>
      <c r="E24" s="8">
        <v>24.489311222000001</v>
      </c>
      <c r="F24" s="4">
        <v>100</v>
      </c>
      <c r="G24" s="14">
        <v>98.4</v>
      </c>
      <c r="H24" s="4">
        <v>17766</v>
      </c>
      <c r="I24" s="4">
        <v>15936</v>
      </c>
      <c r="J24" s="4">
        <v>66.5</v>
      </c>
      <c r="K24" s="4">
        <v>128</v>
      </c>
      <c r="L24" s="11">
        <f>20/140*Table1[[#This Row],[BRAMs]]+20/220*Table1[[#This Row],[DSPs]]+20/53200*Table1[[#This Row],[LUTs]]+20/106400*Table1[[#This Row],[FFs]]+Table1[[#This Row],[%CoreUtilization]]*20/100</f>
        <v>50.490799726589202</v>
      </c>
      <c r="M24" s="14">
        <v>37.502000000000002</v>
      </c>
      <c r="N24" s="14">
        <v>48.563000000000002</v>
      </c>
      <c r="O24" s="14">
        <v>113.274</v>
      </c>
    </row>
    <row r="25" spans="1:16" hidden="1" x14ac:dyDescent="0.4">
      <c r="A25" s="1" t="s">
        <v>12</v>
      </c>
      <c r="B25" s="1">
        <v>3</v>
      </c>
      <c r="C25" s="4" t="s">
        <v>16</v>
      </c>
      <c r="D25" s="8">
        <v>17.623809287</v>
      </c>
      <c r="E25" s="8">
        <v>23.682722263999999</v>
      </c>
      <c r="F25" s="4">
        <v>100</v>
      </c>
      <c r="G25" s="14">
        <v>99.46</v>
      </c>
      <c r="H25" s="4">
        <v>17766</v>
      </c>
      <c r="I25" s="4">
        <v>15936</v>
      </c>
      <c r="J25" s="4">
        <v>66.5</v>
      </c>
      <c r="K25" s="4">
        <v>128</v>
      </c>
      <c r="L25" s="11">
        <f>20/140*Table1[[#This Row],[BRAMs]]+20/220*Table1[[#This Row],[DSPs]]+20/53200*Table1[[#This Row],[LUTs]]+20/106400*Table1[[#This Row],[FFs]]+Table1[[#This Row],[%CoreUtilization]]*20/100</f>
        <v>50.702799726589205</v>
      </c>
      <c r="M25" s="14">
        <v>35.268000000000001</v>
      </c>
      <c r="N25" s="14">
        <v>47.531999999999996</v>
      </c>
      <c r="O25" s="14">
        <v>119.509</v>
      </c>
    </row>
    <row r="26" spans="1:16" hidden="1" x14ac:dyDescent="0.4">
      <c r="A26" s="1" t="s">
        <v>12</v>
      </c>
      <c r="B26" s="1">
        <v>4</v>
      </c>
      <c r="C26" s="4" t="s">
        <v>16</v>
      </c>
      <c r="D26" s="8">
        <v>17.423933339000001</v>
      </c>
      <c r="E26" s="8">
        <v>23.723607868999999</v>
      </c>
      <c r="F26" s="4">
        <v>100</v>
      </c>
      <c r="G26" s="14">
        <v>98.71</v>
      </c>
      <c r="H26" s="4">
        <v>17766</v>
      </c>
      <c r="I26" s="4">
        <v>15936</v>
      </c>
      <c r="J26" s="4">
        <v>66.5</v>
      </c>
      <c r="K26" s="4">
        <v>128</v>
      </c>
      <c r="L26" s="11">
        <f>20/140*Table1[[#This Row],[BRAMs]]+20/220*Table1[[#This Row],[DSPs]]+20/53200*Table1[[#This Row],[LUTs]]+20/106400*Table1[[#This Row],[FFs]]+Table1[[#This Row],[%CoreUtilization]]*20/100</f>
        <v>50.5527997265892</v>
      </c>
      <c r="M26" s="14">
        <v>36.01</v>
      </c>
      <c r="N26" s="14">
        <v>48.447000000000003</v>
      </c>
      <c r="O26" s="14">
        <v>113.536</v>
      </c>
    </row>
    <row r="27" spans="1:16" hidden="1" x14ac:dyDescent="0.4">
      <c r="A27" s="1" t="s">
        <v>12</v>
      </c>
      <c r="B27" s="1">
        <v>5</v>
      </c>
      <c r="C27" s="4" t="s">
        <v>16</v>
      </c>
      <c r="D27" s="8">
        <v>17.844624281000002</v>
      </c>
      <c r="E27" s="8">
        <v>25.767813201999999</v>
      </c>
      <c r="F27" s="4">
        <v>100</v>
      </c>
      <c r="G27" s="14">
        <v>99.83</v>
      </c>
      <c r="H27" s="4">
        <v>17766</v>
      </c>
      <c r="I27" s="4">
        <v>15936</v>
      </c>
      <c r="J27" s="4">
        <v>66.5</v>
      </c>
      <c r="K27" s="4">
        <v>128</v>
      </c>
      <c r="L27" s="11">
        <f>20/140*Table1[[#This Row],[BRAMs]]+20/220*Table1[[#This Row],[DSPs]]+20/53200*Table1[[#This Row],[LUTs]]+20/106400*Table1[[#This Row],[FFs]]+Table1[[#This Row],[%CoreUtilization]]*20/100</f>
        <v>50.776799726589203</v>
      </c>
      <c r="M27" s="14">
        <v>36.780999999999999</v>
      </c>
      <c r="N27" s="14">
        <v>52.566000000000003</v>
      </c>
      <c r="O27" s="14">
        <v>110.611</v>
      </c>
    </row>
    <row r="28" spans="1:16" ht="15" hidden="1" thickBot="1" x14ac:dyDescent="0.45">
      <c r="A28" s="3" t="s">
        <v>12</v>
      </c>
      <c r="B28" s="3">
        <v>6</v>
      </c>
      <c r="C28" s="6" t="s">
        <v>16</v>
      </c>
      <c r="D28" s="9">
        <v>19.468601416999999</v>
      </c>
      <c r="E28" s="9">
        <v>32.165640330000002</v>
      </c>
      <c r="F28" s="6">
        <v>100</v>
      </c>
      <c r="G28" s="15">
        <v>99.91</v>
      </c>
      <c r="H28" s="6">
        <v>17766</v>
      </c>
      <c r="I28" s="6">
        <v>15936</v>
      </c>
      <c r="J28" s="6">
        <v>66.5</v>
      </c>
      <c r="K28" s="6">
        <v>128</v>
      </c>
      <c r="L28" s="12">
        <f>20/140*Table1[[#This Row],[BRAMs]]+20/220*Table1[[#This Row],[DSPs]]+20/53200*Table1[[#This Row],[LUTs]]+20/106400*Table1[[#This Row],[FFs]]+Table1[[#This Row],[%CoreUtilization]]*20/100</f>
        <v>50.792799726589202</v>
      </c>
      <c r="M28" s="15">
        <v>40.341999999999999</v>
      </c>
      <c r="N28" s="15">
        <v>66.212000000000003</v>
      </c>
      <c r="O28" s="15">
        <v>108.286</v>
      </c>
      <c r="P28" s="6"/>
    </row>
    <row r="29" spans="1:16" x14ac:dyDescent="0.4">
      <c r="A29" s="17" t="s">
        <v>13</v>
      </c>
      <c r="B29" s="2">
        <v>0</v>
      </c>
      <c r="C29" s="5" t="s">
        <v>23</v>
      </c>
      <c r="D29" s="5">
        <v>9.8759999999999994</v>
      </c>
      <c r="E29" s="5">
        <v>14.840999999999999</v>
      </c>
      <c r="F29" s="5">
        <v>100</v>
      </c>
      <c r="G29" s="5">
        <v>100</v>
      </c>
      <c r="H29" s="5">
        <v>15397</v>
      </c>
      <c r="I29" s="5">
        <v>14691</v>
      </c>
      <c r="J29" s="5">
        <v>67</v>
      </c>
      <c r="K29" s="5">
        <v>128</v>
      </c>
      <c r="L29" s="10">
        <f>20/140*Table1[[#This Row],[BRAMs]]+20/220*Table1[[#This Row],[DSPs]]+20/53200*Table1[[#This Row],[LUTs]]+20/106400*Table1[[#This Row],[FFs]]+Table1[[#This Row],[%CoreUtilization]]*20/100</f>
        <v>49.757604237867398</v>
      </c>
      <c r="M29" s="13">
        <v>18.524000000000001</v>
      </c>
      <c r="N29" s="13">
        <v>28.161999999999999</v>
      </c>
      <c r="O29" s="13">
        <v>135.024</v>
      </c>
      <c r="P29" s="18"/>
    </row>
    <row r="30" spans="1:16" x14ac:dyDescent="0.4">
      <c r="A30" s="19" t="s">
        <v>13</v>
      </c>
      <c r="B30" s="1">
        <v>1</v>
      </c>
      <c r="C30" s="4" t="s">
        <v>23</v>
      </c>
      <c r="D30" s="4">
        <v>10.359</v>
      </c>
      <c r="E30" s="4">
        <v>15.569000000000001</v>
      </c>
      <c r="F30" s="4">
        <v>100</v>
      </c>
      <c r="G30" s="23">
        <v>99.58</v>
      </c>
      <c r="H30" s="4">
        <v>15397</v>
      </c>
      <c r="I30" s="4">
        <v>14691</v>
      </c>
      <c r="J30" s="4">
        <v>67</v>
      </c>
      <c r="K30" s="4">
        <v>128</v>
      </c>
      <c r="L30" s="11">
        <f>20/140*Table1[[#This Row],[BRAMs]]+20/220*Table1[[#This Row],[DSPs]]+20/53200*Table1[[#This Row],[LUTs]]+20/106400*Table1[[#This Row],[FFs]]+Table1[[#This Row],[%CoreUtilization]]*20/100</f>
        <v>49.673604237867394</v>
      </c>
      <c r="M30" s="14">
        <v>20.103999999999999</v>
      </c>
      <c r="N30" s="14">
        <v>30.097000000000001</v>
      </c>
      <c r="O30" s="14">
        <v>128.27099999999999</v>
      </c>
      <c r="P30" s="20"/>
    </row>
    <row r="31" spans="1:16" x14ac:dyDescent="0.4">
      <c r="A31" s="19" t="s">
        <v>13</v>
      </c>
      <c r="B31" s="1">
        <v>2</v>
      </c>
      <c r="C31" s="4" t="s">
        <v>23</v>
      </c>
      <c r="D31" s="4">
        <v>10.951000000000001</v>
      </c>
      <c r="E31" s="4">
        <v>16.405999999999999</v>
      </c>
      <c r="F31" s="4">
        <v>100</v>
      </c>
      <c r="G31" s="23">
        <v>99.13</v>
      </c>
      <c r="H31" s="4">
        <v>15397</v>
      </c>
      <c r="I31" s="4">
        <v>14691</v>
      </c>
      <c r="J31" s="4">
        <v>67</v>
      </c>
      <c r="K31" s="4">
        <v>128</v>
      </c>
      <c r="L31" s="11">
        <f>20/140*Table1[[#This Row],[BRAMs]]+20/220*Table1[[#This Row],[DSPs]]+20/53200*Table1[[#This Row],[LUTs]]+20/106400*Table1[[#This Row],[FFs]]+Table1[[#This Row],[%CoreUtilization]]*20/100</f>
        <v>49.583604237867398</v>
      </c>
      <c r="M31" s="14">
        <v>22.033999999999999</v>
      </c>
      <c r="N31" s="14">
        <v>32.622999999999998</v>
      </c>
      <c r="O31" s="14">
        <v>113.274</v>
      </c>
      <c r="P31" s="20"/>
    </row>
    <row r="32" spans="1:16" x14ac:dyDescent="0.4">
      <c r="A32" s="19" t="s">
        <v>13</v>
      </c>
      <c r="B32" s="1">
        <v>3</v>
      </c>
      <c r="C32" s="4" t="s">
        <v>23</v>
      </c>
      <c r="D32" s="4">
        <v>11.159000000000001</v>
      </c>
      <c r="E32" s="4">
        <v>16.824999999999999</v>
      </c>
      <c r="F32" s="4">
        <v>100</v>
      </c>
      <c r="G32" s="4">
        <v>100</v>
      </c>
      <c r="H32" s="4">
        <v>15397</v>
      </c>
      <c r="I32" s="4">
        <v>14691</v>
      </c>
      <c r="J32" s="4">
        <v>67</v>
      </c>
      <c r="K32" s="4">
        <v>128</v>
      </c>
      <c r="L32" s="11">
        <f>20/140*Table1[[#This Row],[BRAMs]]+20/220*Table1[[#This Row],[DSPs]]+20/53200*Table1[[#This Row],[LUTs]]+20/106400*Table1[[#This Row],[FFs]]+Table1[[#This Row],[%CoreUtilization]]*20/100</f>
        <v>49.757604237867398</v>
      </c>
      <c r="M32" s="14">
        <v>22.224</v>
      </c>
      <c r="N32" s="14">
        <v>33.844000000000001</v>
      </c>
      <c r="O32" s="14">
        <v>119.509</v>
      </c>
      <c r="P32" s="20"/>
    </row>
    <row r="33" spans="1:16" x14ac:dyDescent="0.4">
      <c r="A33" s="19" t="s">
        <v>13</v>
      </c>
      <c r="B33" s="1">
        <v>4</v>
      </c>
      <c r="C33" s="4" t="s">
        <v>23</v>
      </c>
      <c r="D33" s="4">
        <v>11.167</v>
      </c>
      <c r="E33" s="4">
        <v>17.079000000000001</v>
      </c>
      <c r="F33" s="4">
        <v>100</v>
      </c>
      <c r="G33" s="4">
        <v>100</v>
      </c>
      <c r="H33" s="4">
        <v>15397</v>
      </c>
      <c r="I33" s="4">
        <v>14691</v>
      </c>
      <c r="J33" s="4">
        <v>67</v>
      </c>
      <c r="K33" s="4">
        <v>128</v>
      </c>
      <c r="L33" s="11">
        <f>20/140*Table1[[#This Row],[BRAMs]]+20/220*Table1[[#This Row],[DSPs]]+20/53200*Table1[[#This Row],[LUTs]]+20/106400*Table1[[#This Row],[FFs]]+Table1[[#This Row],[%CoreUtilization]]*20/100</f>
        <v>49.757604237867398</v>
      </c>
      <c r="M33" s="14">
        <v>23.233000000000001</v>
      </c>
      <c r="N33" s="14">
        <v>35.256999999999998</v>
      </c>
      <c r="O33" s="14">
        <v>113.536</v>
      </c>
      <c r="P33" s="20"/>
    </row>
    <row r="34" spans="1:16" x14ac:dyDescent="0.4">
      <c r="A34" s="19" t="s">
        <v>13</v>
      </c>
      <c r="B34" s="1">
        <v>5</v>
      </c>
      <c r="C34" s="4" t="s">
        <v>23</v>
      </c>
      <c r="D34" s="4">
        <v>11.566000000000001</v>
      </c>
      <c r="E34" s="4">
        <v>19.059999999999999</v>
      </c>
      <c r="F34" s="4">
        <v>100</v>
      </c>
      <c r="G34" s="4">
        <v>100</v>
      </c>
      <c r="H34" s="4">
        <v>15397</v>
      </c>
      <c r="I34" s="4">
        <v>14691</v>
      </c>
      <c r="J34" s="4">
        <v>67</v>
      </c>
      <c r="K34" s="4">
        <v>128</v>
      </c>
      <c r="L34" s="11">
        <f>20/140*Table1[[#This Row],[BRAMs]]+20/220*Table1[[#This Row],[DSPs]]+20/53200*Table1[[#This Row],[LUTs]]+20/106400*Table1[[#This Row],[FFs]]+Table1[[#This Row],[%CoreUtilization]]*20/100</f>
        <v>49.757604237867398</v>
      </c>
      <c r="M34" s="14">
        <v>24.056999999999999</v>
      </c>
      <c r="N34" s="14">
        <v>39.372</v>
      </c>
      <c r="O34" s="14">
        <v>110.611</v>
      </c>
      <c r="P34" s="20"/>
    </row>
    <row r="35" spans="1:16" ht="15" thickBot="1" x14ac:dyDescent="0.45">
      <c r="A35" s="21" t="s">
        <v>13</v>
      </c>
      <c r="B35" s="3">
        <v>6</v>
      </c>
      <c r="C35" s="6" t="s">
        <v>23</v>
      </c>
      <c r="D35" s="6">
        <v>12.874000000000001</v>
      </c>
      <c r="E35" s="6">
        <v>26.38</v>
      </c>
      <c r="F35" s="6">
        <v>100</v>
      </c>
      <c r="G35" s="6">
        <v>100</v>
      </c>
      <c r="H35" s="6">
        <v>15397</v>
      </c>
      <c r="I35" s="6">
        <v>14691</v>
      </c>
      <c r="J35" s="6">
        <v>67</v>
      </c>
      <c r="K35" s="6">
        <v>128</v>
      </c>
      <c r="L35" s="12">
        <f>20/140*Table1[[#This Row],[BRAMs]]+20/220*Table1[[#This Row],[DSPs]]+20/53200*Table1[[#This Row],[LUTs]]+20/106400*Table1[[#This Row],[FFs]]+Table1[[#This Row],[%CoreUtilization]]*20/100</f>
        <v>49.757604237867398</v>
      </c>
      <c r="M35" s="15">
        <v>27.041</v>
      </c>
      <c r="N35" s="15">
        <v>54.058</v>
      </c>
      <c r="O35" s="15">
        <v>108.286</v>
      </c>
      <c r="P35" s="22"/>
    </row>
    <row r="36" spans="1:16" x14ac:dyDescent="0.4">
      <c r="A36" s="1" t="s">
        <v>24</v>
      </c>
      <c r="B36" s="1">
        <v>0</v>
      </c>
      <c r="C36" s="4" t="s">
        <v>25</v>
      </c>
      <c r="F36" s="4" t="s">
        <v>9</v>
      </c>
      <c r="L36" s="11">
        <f>20/140*Table1[[#This Row],[BRAMs]]+20/220*Table1[[#This Row],[DSPs]]+20/53200*Table1[[#This Row],[LUTs]]+20/106400*Table1[[#This Row],[FFs]]+Table1[[#This Row],[%CoreUtilization]]*20/100</f>
        <v>0</v>
      </c>
      <c r="M36" s="14"/>
      <c r="N36" s="14"/>
      <c r="O36" s="14"/>
    </row>
    <row r="37" spans="1:16" x14ac:dyDescent="0.4">
      <c r="A37" s="1" t="s">
        <v>24</v>
      </c>
      <c r="B37" s="1">
        <v>1</v>
      </c>
      <c r="C37" s="4" t="s">
        <v>25</v>
      </c>
      <c r="F37" s="4" t="s">
        <v>9</v>
      </c>
      <c r="G37" s="16"/>
      <c r="L37" s="11">
        <f>20/140*Table1[[#This Row],[BRAMs]]+20/220*Table1[[#This Row],[DSPs]]+20/53200*Table1[[#This Row],[LUTs]]+20/106400*Table1[[#This Row],[FFs]]+Table1[[#This Row],[%CoreUtilization]]*20/100</f>
        <v>0</v>
      </c>
      <c r="M37" s="14"/>
      <c r="N37" s="14"/>
      <c r="O37" s="14"/>
    </row>
    <row r="38" spans="1:16" x14ac:dyDescent="0.4">
      <c r="A38" s="1" t="s">
        <v>24</v>
      </c>
      <c r="B38" s="1">
        <v>2</v>
      </c>
      <c r="C38" s="4" t="s">
        <v>25</v>
      </c>
      <c r="F38" s="4" t="s">
        <v>9</v>
      </c>
      <c r="L38" s="11">
        <f>20/140*Table1[[#This Row],[BRAMs]]+20/220*Table1[[#This Row],[DSPs]]+20/53200*Table1[[#This Row],[LUTs]]+20/106400*Table1[[#This Row],[FFs]]+Table1[[#This Row],[%CoreUtilization]]*20/100</f>
        <v>0</v>
      </c>
      <c r="M38" s="14"/>
      <c r="N38" s="14"/>
      <c r="O38" s="14"/>
    </row>
    <row r="39" spans="1:16" x14ac:dyDescent="0.4">
      <c r="A39" s="1" t="s">
        <v>24</v>
      </c>
      <c r="B39" s="1">
        <v>3</v>
      </c>
      <c r="C39" s="4" t="s">
        <v>25</v>
      </c>
      <c r="F39" s="4" t="s">
        <v>9</v>
      </c>
      <c r="G39" s="16"/>
      <c r="L39" s="11">
        <f>20/140*Table1[[#This Row],[BRAMs]]+20/220*Table1[[#This Row],[DSPs]]+20/53200*Table1[[#This Row],[LUTs]]+20/106400*Table1[[#This Row],[FFs]]+Table1[[#This Row],[%CoreUtilization]]*20/100</f>
        <v>0</v>
      </c>
      <c r="M39" s="14"/>
      <c r="N39" s="14"/>
      <c r="O39" s="14"/>
    </row>
    <row r="40" spans="1:16" x14ac:dyDescent="0.4">
      <c r="A40" s="1" t="s">
        <v>24</v>
      </c>
      <c r="B40" s="1">
        <v>4</v>
      </c>
      <c r="C40" s="4" t="s">
        <v>25</v>
      </c>
      <c r="F40" s="4" t="s">
        <v>9</v>
      </c>
      <c r="L40" s="11">
        <f>20/140*Table1[[#This Row],[BRAMs]]+20/220*Table1[[#This Row],[DSPs]]+20/53200*Table1[[#This Row],[LUTs]]+20/106400*Table1[[#This Row],[FFs]]+Table1[[#This Row],[%CoreUtilization]]*20/100</f>
        <v>0</v>
      </c>
      <c r="M40" s="14"/>
      <c r="N40" s="14"/>
      <c r="O40" s="14"/>
    </row>
    <row r="41" spans="1:16" x14ac:dyDescent="0.4">
      <c r="A41" s="1" t="s">
        <v>24</v>
      </c>
      <c r="B41" s="1">
        <v>5</v>
      </c>
      <c r="C41" s="4" t="s">
        <v>25</v>
      </c>
      <c r="F41" s="4" t="s">
        <v>9</v>
      </c>
      <c r="G41" s="16"/>
      <c r="L41" s="11">
        <f>20/140*Table1[[#This Row],[BRAMs]]+20/220*Table1[[#This Row],[DSPs]]+20/53200*Table1[[#This Row],[LUTs]]+20/106400*Table1[[#This Row],[FFs]]+Table1[[#This Row],[%CoreUtilization]]*20/100</f>
        <v>0</v>
      </c>
      <c r="M41" s="14"/>
      <c r="N41" s="14"/>
      <c r="O41" s="14"/>
    </row>
    <row r="42" spans="1:16" x14ac:dyDescent="0.4">
      <c r="A42" s="1" t="s">
        <v>24</v>
      </c>
      <c r="B42" s="1">
        <v>6</v>
      </c>
      <c r="C42" s="4" t="s">
        <v>25</v>
      </c>
      <c r="F42" s="4" t="s">
        <v>9</v>
      </c>
      <c r="G42" s="16"/>
      <c r="L42" s="11">
        <f>20/140*Table1[[#This Row],[BRAMs]]+20/220*Table1[[#This Row],[DSPs]]+20/53200*Table1[[#This Row],[LUTs]]+20/106400*Table1[[#This Row],[FFs]]+Table1[[#This Row],[%CoreUtilization]]*20/100</f>
        <v>0</v>
      </c>
      <c r="M42" s="14"/>
      <c r="N42" s="14"/>
      <c r="O42" s="14"/>
    </row>
    <row r="43" spans="1:16" x14ac:dyDescent="0.4">
      <c r="A43" s="1" t="s">
        <v>24</v>
      </c>
      <c r="B43" s="1">
        <v>7</v>
      </c>
      <c r="C43" s="4" t="s">
        <v>25</v>
      </c>
      <c r="F43" s="4" t="s">
        <v>9</v>
      </c>
      <c r="L43" s="11">
        <f>20/140*Table1[[#This Row],[BRAMs]]+20/220*Table1[[#This Row],[DSPs]]+20/53200*Table1[[#This Row],[LUTs]]+20/106400*Table1[[#This Row],[FFs]]+Table1[[#This Row],[%CoreUtilization]]*20/100</f>
        <v>0</v>
      </c>
      <c r="M43" s="14"/>
      <c r="N43" s="14"/>
      <c r="O43" s="14"/>
    </row>
    <row r="44" spans="1:16" x14ac:dyDescent="0.4">
      <c r="A44" s="1" t="s">
        <v>24</v>
      </c>
      <c r="B44" s="1">
        <v>8</v>
      </c>
      <c r="C44" s="4" t="s">
        <v>25</v>
      </c>
      <c r="F44" s="4" t="s">
        <v>9</v>
      </c>
      <c r="G44" s="16"/>
      <c r="L44" s="11">
        <f>20/140*Table1[[#This Row],[BRAMs]]+20/220*Table1[[#This Row],[DSPs]]+20/53200*Table1[[#This Row],[LUTs]]+20/106400*Table1[[#This Row],[FFs]]+Table1[[#This Row],[%CoreUtilization]]*20/100</f>
        <v>0</v>
      </c>
      <c r="M44" s="14"/>
      <c r="N44" s="14"/>
      <c r="O44" s="14"/>
    </row>
    <row r="45" spans="1:16" x14ac:dyDescent="0.4">
      <c r="A45" s="1" t="s">
        <v>24</v>
      </c>
      <c r="B45" s="1">
        <v>9</v>
      </c>
      <c r="C45" s="4" t="s">
        <v>25</v>
      </c>
      <c r="F45" s="4" t="s">
        <v>9</v>
      </c>
      <c r="L45" s="11">
        <f>20/140*Table1[[#This Row],[BRAMs]]+20/220*Table1[[#This Row],[DSPs]]+20/53200*Table1[[#This Row],[LUTs]]+20/106400*Table1[[#This Row],[FFs]]+Table1[[#This Row],[%CoreUtilization]]*20/100</f>
        <v>0</v>
      </c>
      <c r="M45" s="14"/>
      <c r="N45" s="14"/>
      <c r="O45" s="14"/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Gaëtan Jenni</dc:creator>
  <cp:lastModifiedBy>Gaëtan Jenni</cp:lastModifiedBy>
  <dcterms:created xsi:type="dcterms:W3CDTF">2025-03-13T15:37:06Z</dcterms:created>
  <dcterms:modified xsi:type="dcterms:W3CDTF">2025-05-20T16:22:43Z</dcterms:modified>
</cp:coreProperties>
</file>