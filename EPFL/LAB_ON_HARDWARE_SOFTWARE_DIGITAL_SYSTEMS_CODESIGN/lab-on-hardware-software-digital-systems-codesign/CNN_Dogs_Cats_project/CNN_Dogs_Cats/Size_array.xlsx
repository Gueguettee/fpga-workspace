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flch-my.sharepoint.com/personal/gaetan_jenni_epfl_ch/Documents/GATEWAY/LAB_ON_SOFT_HARD/"/>
    </mc:Choice>
  </mc:AlternateContent>
  <xr:revisionPtr revIDLastSave="32" documentId="8_{BA1CEF1F-D342-4F1D-B9AC-886B49F7C580}" xr6:coauthVersionLast="47" xr6:coauthVersionMax="47" xr10:uidLastSave="{B6948959-0525-4199-B6EB-5897706FC2F5}"/>
  <bookViews>
    <workbookView xWindow="1174" yWindow="2786" windowWidth="16457" windowHeight="9454" xr2:uid="{C86EAB2A-6608-4995-9CF4-5EEB9AB688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2" i="1"/>
  <c r="J7" i="1"/>
  <c r="J3" i="1"/>
  <c r="J4" i="1"/>
  <c r="J5" i="1"/>
  <c r="J6" i="1"/>
  <c r="J2" i="1"/>
  <c r="I3" i="1"/>
  <c r="I4" i="1"/>
  <c r="I5" i="1"/>
  <c r="I6" i="1"/>
  <c r="I2" i="1"/>
  <c r="H3" i="1"/>
  <c r="H4" i="1"/>
  <c r="H5" i="1"/>
  <c r="H6" i="1"/>
  <c r="H7" i="1" s="1"/>
  <c r="H2" i="1"/>
  <c r="I7" i="1"/>
  <c r="G7" i="1"/>
  <c r="G3" i="1"/>
  <c r="G4" i="1"/>
  <c r="G5" i="1"/>
  <c r="G6" i="1"/>
  <c r="G2" i="1"/>
  <c r="F3" i="1"/>
  <c r="E3" i="1"/>
  <c r="E4" i="1"/>
  <c r="E5" i="1"/>
  <c r="E6" i="1"/>
  <c r="B3" i="1"/>
  <c r="B4" i="1"/>
  <c r="F4" i="1" s="1"/>
  <c r="B5" i="1"/>
  <c r="F5" i="1" s="1"/>
  <c r="B6" i="1"/>
  <c r="F6" i="1" s="1"/>
  <c r="B2" i="1"/>
  <c r="F2" i="1" s="1"/>
  <c r="E2" i="1"/>
  <c r="K7" i="1" l="1"/>
</calcChain>
</file>

<file path=xl/sharedStrings.xml><?xml version="1.0" encoding="utf-8"?>
<sst xmlns="http://schemas.openxmlformats.org/spreadsheetml/2006/main" count="12" uniqueCount="12">
  <si>
    <t>inputW</t>
  </si>
  <si>
    <t>inputH</t>
  </si>
  <si>
    <t>Channel</t>
  </si>
  <si>
    <t>Filters</t>
  </si>
  <si>
    <t>OutputW</t>
  </si>
  <si>
    <t>OutputH</t>
  </si>
  <si>
    <t>InputSize</t>
  </si>
  <si>
    <t>OutputSize</t>
  </si>
  <si>
    <t>FilterSize</t>
  </si>
  <si>
    <t>TempInput</t>
  </si>
  <si>
    <t>TempFilter</t>
  </si>
  <si>
    <t>Maximum array size: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</si>
</sst>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0" borderId="15" xfId="0" applyFont="1" applyBorder="1"/>
    <xf numFmtId="0" fontId="1" fillId="0" borderId="14" xfId="0" applyFont="1" applyBorder="1"/>
    <xf numFmtId="0" fontId="0" fillId="0" borderId="16" xfId="0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D9E26-60A5-413F-8E73-A02A4CF49BDA}">
  <dimension ref="A1:L7"/>
  <sheetViews>
    <sheetView tabSelected="1" zoomScale="128" workbookViewId="0">
      <selection activeCell="L1" sqref="L1:L7"/>
    </sheetView>
  </sheetViews>
  <sheetFormatPr defaultRowHeight="14.6" x14ac:dyDescent="0.4"/>
  <sheetData>
    <row r="1" spans="1:12" x14ac:dyDescent="0.4">
      <c r="A1" s="8" t="s">
        <v>0</v>
      </c>
      <c r="B1" s="9" t="s">
        <v>1</v>
      </c>
      <c r="C1" s="10" t="s">
        <v>2</v>
      </c>
      <c r="D1" s="9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  <c r="J1" s="9" t="s">
        <v>10</v>
      </c>
      <c r="K1" s="11" t="s">
        <v>9</v>
      </c>
      <c r="L1" s="17"/>
    </row>
    <row r="2" spans="1:12" x14ac:dyDescent="0.4">
      <c r="A2" s="5">
        <v>256</v>
      </c>
      <c r="B2">
        <f>A2</f>
        <v>256</v>
      </c>
      <c r="C2" s="7">
        <v>3</v>
      </c>
      <c r="D2">
        <v>32</v>
      </c>
      <c r="E2" s="7">
        <f>A2-2</f>
        <v>254</v>
      </c>
      <c r="F2">
        <f>B2-2</f>
        <v>254</v>
      </c>
      <c r="G2" s="7">
        <f>A2*B2*C2</f>
        <v>196608</v>
      </c>
      <c r="H2">
        <f>A2*B2*D2</f>
        <v>2097152</v>
      </c>
      <c r="I2" s="7">
        <f>C2*D2*9</f>
        <v>864</v>
      </c>
      <c r="J2">
        <f>C2*9</f>
        <v>27</v>
      </c>
      <c r="K2" s="12">
        <f>C2*3*A2</f>
        <v>2304</v>
      </c>
    </row>
    <row r="3" spans="1:12" x14ac:dyDescent="0.4">
      <c r="A3" s="5">
        <v>127</v>
      </c>
      <c r="B3">
        <f t="shared" ref="B3:B6" si="0">A3</f>
        <v>127</v>
      </c>
      <c r="C3" s="7">
        <v>32</v>
      </c>
      <c r="D3">
        <v>64</v>
      </c>
      <c r="E3" s="7">
        <f t="shared" ref="E3:E6" si="1">A3-2</f>
        <v>125</v>
      </c>
      <c r="F3">
        <f t="shared" ref="F3:F6" si="2">B3-2</f>
        <v>125</v>
      </c>
      <c r="G3" s="7">
        <f t="shared" ref="G3:G6" si="3">A3*B3*C3</f>
        <v>516128</v>
      </c>
      <c r="H3">
        <f t="shared" ref="H3:H6" si="4">A3*B3*D3</f>
        <v>1032256</v>
      </c>
      <c r="I3" s="7">
        <f t="shared" ref="I3:I6" si="5">C3*D3*9</f>
        <v>18432</v>
      </c>
      <c r="J3">
        <f t="shared" ref="J3:J6" si="6">C3*9</f>
        <v>288</v>
      </c>
      <c r="K3" s="12">
        <f t="shared" ref="K3:K6" si="7">C3*3*A3</f>
        <v>12192</v>
      </c>
    </row>
    <row r="4" spans="1:12" x14ac:dyDescent="0.4">
      <c r="A4" s="5">
        <v>62</v>
      </c>
      <c r="B4">
        <f t="shared" si="0"/>
        <v>62</v>
      </c>
      <c r="C4" s="7">
        <v>64</v>
      </c>
      <c r="D4">
        <v>128</v>
      </c>
      <c r="E4" s="7">
        <f t="shared" si="1"/>
        <v>60</v>
      </c>
      <c r="F4">
        <f t="shared" si="2"/>
        <v>60</v>
      </c>
      <c r="G4" s="7">
        <f t="shared" si="3"/>
        <v>246016</v>
      </c>
      <c r="H4">
        <f t="shared" si="4"/>
        <v>492032</v>
      </c>
      <c r="I4" s="7">
        <f t="shared" si="5"/>
        <v>73728</v>
      </c>
      <c r="J4">
        <f t="shared" si="6"/>
        <v>576</v>
      </c>
      <c r="K4" s="12">
        <f t="shared" si="7"/>
        <v>11904</v>
      </c>
    </row>
    <row r="5" spans="1:12" x14ac:dyDescent="0.4">
      <c r="A5" s="5">
        <v>30</v>
      </c>
      <c r="B5">
        <f t="shared" si="0"/>
        <v>30</v>
      </c>
      <c r="C5" s="7">
        <v>128</v>
      </c>
      <c r="D5">
        <v>256</v>
      </c>
      <c r="E5" s="7">
        <f t="shared" si="1"/>
        <v>28</v>
      </c>
      <c r="F5">
        <f t="shared" si="2"/>
        <v>28</v>
      </c>
      <c r="G5" s="7">
        <f t="shared" si="3"/>
        <v>115200</v>
      </c>
      <c r="H5">
        <f t="shared" si="4"/>
        <v>230400</v>
      </c>
      <c r="I5" s="7">
        <f t="shared" si="5"/>
        <v>294912</v>
      </c>
      <c r="J5">
        <f t="shared" si="6"/>
        <v>1152</v>
      </c>
      <c r="K5" s="12">
        <f t="shared" si="7"/>
        <v>11520</v>
      </c>
    </row>
    <row r="6" spans="1:12" ht="15" thickBot="1" x14ac:dyDescent="0.45">
      <c r="A6" s="6">
        <v>14</v>
      </c>
      <c r="B6" s="2">
        <f t="shared" si="0"/>
        <v>14</v>
      </c>
      <c r="C6" s="13">
        <v>256</v>
      </c>
      <c r="D6" s="2">
        <v>64</v>
      </c>
      <c r="E6" s="3">
        <f t="shared" si="1"/>
        <v>12</v>
      </c>
      <c r="F6" s="16">
        <f t="shared" si="2"/>
        <v>12</v>
      </c>
      <c r="G6" s="3">
        <f t="shared" si="3"/>
        <v>50176</v>
      </c>
      <c r="H6" s="16">
        <f t="shared" si="4"/>
        <v>12544</v>
      </c>
      <c r="I6" s="3">
        <f t="shared" si="5"/>
        <v>147456</v>
      </c>
      <c r="J6" s="16">
        <f t="shared" si="6"/>
        <v>2304</v>
      </c>
      <c r="K6" s="4">
        <f t="shared" si="7"/>
        <v>10752</v>
      </c>
    </row>
    <row r="7" spans="1:12" ht="15" thickBot="1" x14ac:dyDescent="0.45">
      <c r="E7" s="1" t="s">
        <v>11</v>
      </c>
      <c r="F7" s="2"/>
      <c r="G7" s="14">
        <f>MAX(G2:G6)</f>
        <v>516128</v>
      </c>
      <c r="H7" s="14">
        <f>MAX(H2:H6)</f>
        <v>2097152</v>
      </c>
      <c r="I7" s="14">
        <f>MAX(I2:I6)</f>
        <v>294912</v>
      </c>
      <c r="J7" s="14">
        <f>MAX(J2:J6)</f>
        <v>2304</v>
      </c>
      <c r="K7" s="15">
        <f>MAX(K2:K6)</f>
        <v>12192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Gaëtan Jenni</dc:creator>
  <cp:lastModifiedBy>Gaëtan Jenni</cp:lastModifiedBy>
  <dcterms:created xsi:type="dcterms:W3CDTF">2025-03-28T09:46:02Z</dcterms:created>
  <dcterms:modified xsi:type="dcterms:W3CDTF">2025-04-02T14:41:25Z</dcterms:modified>
</cp:coreProperties>
</file>