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ab-on-hardware-software-digital-systems-codesign\CNN_Dogs_Cats_project\CNN_Dogs_Cats\"/>
    </mc:Choice>
  </mc:AlternateContent>
  <xr:revisionPtr revIDLastSave="0" documentId="13_ncr:1_{E6293FEF-17DB-4F2D-88B2-F90F65A68D37}" xr6:coauthVersionLast="47" xr6:coauthVersionMax="47" xr10:uidLastSave="{00000000-0000-0000-0000-000000000000}"/>
  <bookViews>
    <workbookView xWindow="-103" yWindow="-103" windowWidth="22149" windowHeight="13200" xr2:uid="{E8BADEDA-4368-410C-B43D-F2F6F57F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<sst xmlns="http://schemas.openxmlformats.org/spreadsheetml/2006/main" count="37" uniqueCount="31">
  <si>
    <t>Name</t>
  </si>
  <si>
    <t>Description</t>
  </si>
  <si>
    <t>Time (ms)</t>
  </si>
  <si>
    <t>Frequency (MHz)</t>
  </si>
  <si>
    <t>LUTs</t>
  </si>
  <si>
    <t>FFs</t>
  </si>
  <si>
    <t>BRAMs</t>
  </si>
  <si>
    <t>DSPs</t>
  </si>
  <si>
    <t>Cost</t>
  </si>
  <si>
    <t>Pareto ? (Yes/No)</t>
  </si>
  <si>
    <t>SW</t>
  </si>
  <si>
    <t>Initial HW</t>
  </si>
  <si>
    <t>Pure SW-based app on Pynq</t>
  </si>
  <si>
    <t>Initial implementation of the accelerator without any optimizations</t>
  </si>
  <si>
    <t>Yes</t>
  </si>
  <si>
    <t>-</t>
  </si>
  <si>
    <t>HW2</t>
  </si>
  <si>
    <t xml:space="preserve">Add the caching of filters </t>
  </si>
  <si>
    <t>No</t>
  </si>
  <si>
    <t>HW3</t>
  </si>
  <si>
    <t>Add the caching of input rows</t>
  </si>
  <si>
    <t>Cat:</t>
  </si>
  <si>
    <t>Dog:</t>
  </si>
  <si>
    <t>HW4</t>
  </si>
  <si>
    <t>Add partitioning and unrolling of loop</t>
  </si>
  <si>
    <t>HW5</t>
  </si>
  <si>
    <t>Parallelizing the computation of output filters (x4)</t>
  </si>
  <si>
    <t>HW6</t>
  </si>
  <si>
    <t>Add biases and ReLu function in HW</t>
  </si>
  <si>
    <t>HW7</t>
  </si>
  <si>
    <t>Overlapping data transfers with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</si>
</sst>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Sheet1!$A$2:$A$16</c:f>
              <c:strCache>
                <c:ptCount val="15"/>
                <c:pt idx="0">
                  <c:v>SW</c:v>
                </c:pt>
                <c:pt idx="1">
                  <c:v>Initial HW</c:v>
                </c:pt>
                <c:pt idx="2">
                  <c:v>HW2</c:v>
                </c:pt>
                <c:pt idx="3">
                  <c:v>HW3</c:v>
                </c:pt>
                <c:pt idx="4">
                  <c:v>HW4</c:v>
                </c:pt>
                <c:pt idx="5">
                  <c:v>HW5</c:v>
                </c:pt>
                <c:pt idx="6">
                  <c:v>HW6</c:v>
                </c:pt>
                <c:pt idx="7">
                  <c:v>HW7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SW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FF7C-48A7-ADCF-23FC4E56DD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InitialHW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FF7C-48A7-ADCF-23FC4E56DD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HW2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FF7C-48A7-ADCF-23FC4E56DD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HW3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FF7C-48A7-ADCF-23FC4E56DDDE}"/>
                </c:ext>
              </c:extLst>
            </c:dLbl>
            <c:dLbl>
              <c:idx val="4"/>
              <c:layout>
                <c:manualLayout>
                  <c:x val="-2.7153407532157479E-2"/>
                  <c:y val="2.806351438678643E-2"/>
                </c:manualLayout>
              </c:layout>
              <c:tx>
                <c:rich>
                  <a:bodyPr/>
                  <a:lstStyle/>
                  <a:p>
                    <a:fld id="{A0C5A371-C840-4786-A809-4D1480552757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F7C-48A7-ADCF-23FC4E56DDDE}"/>
                </c:ext>
              </c:extLst>
            </c:dLbl>
            <c:dLbl>
              <c:idx val="5"/>
              <c:layout>
                <c:manualLayout>
                  <c:x val="-3.0547583473677226E-2"/>
                  <c:y val="-3.7418019182381905E-2"/>
                </c:manualLayout>
              </c:layout>
              <c:tx>
                <c:rich>
                  <a:bodyPr/>
                  <a:lstStyle/>
                  <a:p>
                    <a:fld id="{DE017D3F-BD2C-49C9-B3E7-8B740A4C8C13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F7C-48A7-ADCF-23FC4E56DDDE}"/>
                </c:ext>
              </c:extLst>
            </c:dLbl>
            <c:dLbl>
              <c:idx val="6"/>
              <c:layout>
                <c:manualLayout>
                  <c:x val="-1.8667967678358391E-2"/>
                  <c:y val="3.1181682651984809E-2"/>
                </c:manualLayout>
              </c:layout>
              <c:tx>
                <c:rich>
                  <a:bodyPr/>
                  <a:lstStyle/>
                  <a:p>
                    <a:fld id="{1A8B0FCF-936E-4BF2-9074-9ED0F00890F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F7C-48A7-ADCF-23FC4E56DD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D47E2B-EB6F-4BFE-883E-1A0874814D49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7C-48A7-ADCF-23FC4E56DD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7C-48A7-ADCF-23FC4E56DD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7C-48A7-ADCF-23FC4E56DD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7C-48A7-ADCF-23FC4E56DD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7C-48A7-ADCF-23FC4E56DD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7C-48A7-ADCF-23FC4E56DD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7C-48A7-ADCF-23FC4E56DD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7C-48A7-ADCF-23FC4E56DD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Sheet1!$I$2:$I$16</c:f>
              <c:numCache>
                <c:formatCode>0.00</c:formatCode>
                <c:ptCount val="15"/>
                <c:pt idx="0">
                  <c:v>0</c:v>
                </c:pt>
                <c:pt idx="1">
                  <c:v>13.583817498291181</c:v>
                </c:pt>
                <c:pt idx="2">
                  <c:v>8.5012175324675336</c:v>
                </c:pt>
                <c:pt idx="3">
                  <c:v>14.363914046479834</c:v>
                </c:pt>
                <c:pt idx="4">
                  <c:v>16.075721975393026</c:v>
                </c:pt>
                <c:pt idx="5">
                  <c:v>34.318352699931644</c:v>
                </c:pt>
                <c:pt idx="6">
                  <c:v>34.61581510594668</c:v>
                </c:pt>
                <c:pt idx="7">
                  <c:v>59.406484962406012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28163</c:v>
                </c:pt>
                <c:pt idx="1">
                  <c:v>87175</c:v>
                </c:pt>
                <c:pt idx="2">
                  <c:v>38564</c:v>
                </c:pt>
                <c:pt idx="3">
                  <c:v>14737</c:v>
                </c:pt>
                <c:pt idx="4">
                  <c:v>5032</c:v>
                </c:pt>
                <c:pt idx="5">
                  <c:v>3174</c:v>
                </c:pt>
                <c:pt idx="6">
                  <c:v>1881</c:v>
                </c:pt>
                <c:pt idx="7">
                  <c:v>37136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Sheet1!$A$2:$A$16</c15:f>
                <c15:dlblRangeCache>
                  <c:ptCount val="15"/>
                  <c:pt idx="0">
                    <c:v>SW</c:v>
                  </c:pt>
                  <c:pt idx="1">
                    <c:v>Initial HW</c:v>
                  </c:pt>
                  <c:pt idx="2">
                    <c:v>HW2</c:v>
                  </c:pt>
                  <c:pt idx="3">
                    <c:v>HW3</c:v>
                  </c:pt>
                  <c:pt idx="4">
                    <c:v>HW4</c:v>
                  </c:pt>
                  <c:pt idx="5">
                    <c:v>HW5</c:v>
                  </c:pt>
                  <c:pt idx="6">
                    <c:v>HW6</c:v>
                  </c:pt>
                  <c:pt idx="7">
                    <c:v>HW7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7C-48A7-ADCF-23FC4E56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57936"/>
        <c:axId val="971656016"/>
      </c:scatterChart>
      <c:valAx>
        <c:axId val="97165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Ressource</a:t>
                </a:r>
                <a:r>
                  <a:rPr lang="fr-CH" baseline="0"/>
                  <a:t> cost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6016"/>
        <c:crosses val="autoZero"/>
        <c:crossBetween val="midCat"/>
      </c:valAx>
      <c:valAx>
        <c:axId val="9716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Execution</a:t>
                </a:r>
                <a:r>
                  <a:rPr lang="fr-CH" baseline="0"/>
                  <a:t> time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276028</xdr:colOff>
      <xdr:row>2</xdr:row>
      <xdr:rowOff>12440</xdr:rowOff>
    </xdr:from>
    <xdr:to>
      <xdr:col>21</xdr:col>
      <xdr:colOff>574864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58C3B-25E2-56CA-5F85-6BB9B61CA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415859</xdr:colOff>
      <xdr:row>16</xdr:row>
      <xdr:rowOff>61156</xdr:rowOff>
    </xdr:from>
    <xdr:to>
      <xdr:col>13</xdr:col>
      <xdr:colOff>580979</xdr:colOff>
      <xdr:row>20</xdr:row>
      <xdr:rowOff>12231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CD0BAF3-0344-F0CD-4050-05373BBB2A1C}"/>
            </a:ext>
          </a:extLst>
        </xdr:cNvPr>
        <xdr:cNvCxnSpPr/>
      </xdr:nvCxnSpPr>
      <xdr:spPr>
        <a:xfrm>
          <a:off x="11839743" y="2996629"/>
          <a:ext cx="1473853" cy="684944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604951</xdr:colOff>
      <xdr:row>20</xdr:row>
      <xdr:rowOff>17857</xdr:rowOff>
    </xdr:from>
    <xdr:to>
      <xdr:col>16</xdr:col>
      <xdr:colOff>336356</xdr:colOff>
      <xdr:row>20</xdr:row>
      <xdr:rowOff>128427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518DF3C-8303-4F9A-BD15-49DFA5775009}"/>
            </a:ext>
          </a:extLst>
        </xdr:cNvPr>
        <xdr:cNvCxnSpPr/>
      </xdr:nvCxnSpPr>
      <xdr:spPr>
        <a:xfrm>
          <a:off x="13328430" y="3731806"/>
          <a:ext cx="1690834" cy="1105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310914</xdr:colOff>
      <xdr:row>20</xdr:row>
      <xdr:rowOff>121333</xdr:rowOff>
    </xdr:from>
    <xdr:to>
      <xdr:col>21</xdr:col>
      <xdr:colOff>318010</xdr:colOff>
      <xdr:row>20</xdr:row>
      <xdr:rowOff>165120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F47B7CD-1F08-4B51-9BFC-7FF9262F57FD}"/>
            </a:ext>
          </a:extLst>
        </xdr:cNvPr>
        <xdr:cNvCxnSpPr/>
      </xdr:nvCxnSpPr>
      <xdr:spPr>
        <a:xfrm>
          <a:off x="15006629" y="3790675"/>
          <a:ext cx="3278925" cy="43787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BB4BA-9ADB-46E0-8023-4F32BB80993C}" name="Table1" displayName="Table1" ref="A1:J16" totalsRowShown="0">
  <autoFilter ref="A1:J16" xr:uid="{A34BB4BA-9ADB-46E0-8023-4F32BB80993C}"/>
  <tableColumns count="10">
    <tableColumn id="1" xr3:uid="{F0D4540A-EA98-4854-91F4-41AE5FABF909}" name="Name"/>
    <tableColumn id="2" xr3:uid="{BAFBFF65-56DB-4A22-B12D-A9F4BF59493D}" name="Description"/>
    <tableColumn id="3" xr3:uid="{3CE67481-8F57-41D3-9EB9-BA9156BFFB6F}" name="Time (ms)"/>
    <tableColumn id="4" xr3:uid="{05CF8334-8F26-4E24-9102-BCD730DDA268}" name="Frequency (MHz)"/>
    <tableColumn id="5" xr3:uid="{97F7E6DD-7389-481B-8512-4C5B1F120B1F}" name="LUTs"/>
    <tableColumn id="6" xr3:uid="{4DE7973B-20A3-449F-862A-9D3A773C4A52}" name="FFs"/>
    <tableColumn id="7" xr3:uid="{2FECC22C-4842-4E59-A5DC-1CA0F50922FC}" name="BRAMs"/>
    <tableColumn id="8" xr3:uid="{AF8CB4DA-470A-4E6B-BD51-E0EA225BE76D}" name="DSPs"/>
    <tableColumn id="9" xr3:uid="{9EBB130D-74D6-4A1F-8211-434976969632}" name="Cost" dataDxfId="0">
      <calculatedColumnFormula>25/140*Table1[[#This Row],[BRAMs]]+25/220*Table1[[#This Row],[DSPs]]+25/53200*Table1[[#This Row],[LUTs]]+25/106400*Table1[[#This Row],[FFs]]</calculatedColumnFormula>
    </tableColumn>
    <tableColumn id="10" xr3:uid="{3CF280B7-88D3-41A6-BB89-F9033A2755E3}" name="Pareto ? (Yes/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C968-8A26-4ADE-A08E-1961AC4E6618}">
  <dimension ref="A1:J20"/>
  <sheetViews>
    <sheetView tabSelected="1" zoomScale="106" zoomScaleNormal="70" workbookViewId="0">
      <selection activeCell="B24" sqref="B24"/>
    </sheetView>
  </sheetViews>
  <sheetFormatPr defaultRowHeight="14.6" x14ac:dyDescent="0.4"/>
  <cols>
    <col min="1" max="1" width="7.4609375" customWidth="1"/>
    <col min="2" max="2" width="53" customWidth="1"/>
    <col min="3" max="3" width="10.23046875" customWidth="1"/>
    <col min="4" max="5" width="7.23046875" customWidth="1"/>
    <col min="6" max="6" width="6.765625" customWidth="1"/>
    <col min="7" max="7" width="8.15234375" customWidth="1"/>
    <col min="8" max="8" width="6.84375" customWidth="1"/>
    <col min="9" max="9" width="7.07421875" customWidth="1"/>
    <col min="10" max="10" width="8.152343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12</v>
      </c>
      <c r="C2">
        <v>28163</v>
      </c>
      <c r="D2" t="s">
        <v>15</v>
      </c>
      <c r="E2">
        <v>0</v>
      </c>
      <c r="F2">
        <v>0</v>
      </c>
      <c r="G2">
        <v>0</v>
      </c>
      <c r="H2">
        <v>0</v>
      </c>
      <c r="I2" s="1">
        <f>25/140*Table1[[#This Row],[BRAMs]]+25/220*Table1[[#This Row],[DSPs]]+25/53200*Table1[[#This Row],[LUTs]]+25/106400*Table1[[#This Row],[FFs]]</f>
        <v>0</v>
      </c>
      <c r="J2" t="s">
        <v>14</v>
      </c>
    </row>
    <row r="3" spans="1:10" x14ac:dyDescent="0.4">
      <c r="A3" t="s">
        <v>11</v>
      </c>
      <c r="B3" t="s">
        <v>13</v>
      </c>
      <c r="C3">
        <v>87175</v>
      </c>
      <c r="D3">
        <v>100</v>
      </c>
      <c r="E3">
        <v>4154</v>
      </c>
      <c r="F3">
        <v>7152</v>
      </c>
      <c r="G3">
        <v>1</v>
      </c>
      <c r="H3">
        <v>86</v>
      </c>
      <c r="I3" s="1">
        <f>25/140*Table1[[#This Row],[BRAMs]]+25/220*Table1[[#This Row],[DSPs]]+25/53200*Table1[[#This Row],[LUTs]]+25/106400*Table1[[#This Row],[FFs]]</f>
        <v>13.583817498291181</v>
      </c>
      <c r="J3" t="s">
        <v>18</v>
      </c>
    </row>
    <row r="4" spans="1:10" x14ac:dyDescent="0.4">
      <c r="A4" t="s">
        <v>16</v>
      </c>
      <c r="B4" t="s">
        <v>17</v>
      </c>
      <c r="C4">
        <v>38564</v>
      </c>
      <c r="D4">
        <v>100</v>
      </c>
      <c r="E4">
        <v>3975</v>
      </c>
      <c r="F4">
        <v>6053</v>
      </c>
      <c r="G4">
        <v>5</v>
      </c>
      <c r="H4">
        <v>38</v>
      </c>
      <c r="I4" s="1">
        <f>25/140*Table1[[#This Row],[BRAMs]]+25/220*Table1[[#This Row],[DSPs]]+25/53200*Table1[[#This Row],[LUTs]]+25/106400*Table1[[#This Row],[FFs]]</f>
        <v>8.5012175324675336</v>
      </c>
      <c r="J4" t="s">
        <v>18</v>
      </c>
    </row>
    <row r="5" spans="1:10" x14ac:dyDescent="0.4">
      <c r="A5" t="s">
        <v>19</v>
      </c>
      <c r="B5" t="s">
        <v>20</v>
      </c>
      <c r="C5">
        <v>14737</v>
      </c>
      <c r="D5">
        <v>100</v>
      </c>
      <c r="E5">
        <v>6363</v>
      </c>
      <c r="F5">
        <v>8265</v>
      </c>
      <c r="G5">
        <v>21</v>
      </c>
      <c r="H5">
        <v>50</v>
      </c>
      <c r="I5" s="1">
        <f>25/140*Table1[[#This Row],[BRAMs]]+25/220*Table1[[#This Row],[DSPs]]+25/53200*Table1[[#This Row],[LUTs]]+25/106400*Table1[[#This Row],[FFs]]</f>
        <v>14.363914046479834</v>
      </c>
      <c r="J5" t="s">
        <v>18</v>
      </c>
    </row>
    <row r="6" spans="1:10" x14ac:dyDescent="0.4">
      <c r="A6" t="s">
        <v>23</v>
      </c>
      <c r="B6" t="s">
        <v>24</v>
      </c>
      <c r="C6">
        <v>5032</v>
      </c>
      <c r="D6">
        <v>100</v>
      </c>
      <c r="E6">
        <v>5465</v>
      </c>
      <c r="F6">
        <v>7501</v>
      </c>
      <c r="G6">
        <v>29.5</v>
      </c>
      <c r="H6">
        <v>57</v>
      </c>
      <c r="I6" s="1">
        <f>25/140*Table1[[#This Row],[BRAMs]]+25/220*Table1[[#This Row],[DSPs]]+25/53200*Table1[[#This Row],[LUTs]]+25/106400*Table1[[#This Row],[FFs]]</f>
        <v>16.075721975393026</v>
      </c>
      <c r="J6" t="s">
        <v>14</v>
      </c>
    </row>
    <row r="7" spans="1:10" x14ac:dyDescent="0.4">
      <c r="A7" t="s">
        <v>25</v>
      </c>
      <c r="B7" t="s">
        <v>26</v>
      </c>
      <c r="C7">
        <v>3174</v>
      </c>
      <c r="D7">
        <v>100</v>
      </c>
      <c r="E7">
        <v>8369</v>
      </c>
      <c r="F7">
        <v>10070</v>
      </c>
      <c r="G7">
        <v>43</v>
      </c>
      <c r="H7">
        <v>179</v>
      </c>
      <c r="I7" s="1">
        <f>25/140*Table1[[#This Row],[BRAMs]]+25/220*Table1[[#This Row],[DSPs]]+25/53200*Table1[[#This Row],[LUTs]]+25/106400*Table1[[#This Row],[FFs]]</f>
        <v>34.318352699931644</v>
      </c>
      <c r="J7" t="s">
        <v>18</v>
      </c>
    </row>
    <row r="8" spans="1:10" x14ac:dyDescent="0.4">
      <c r="A8" t="s">
        <v>27</v>
      </c>
      <c r="B8" t="s">
        <v>28</v>
      </c>
      <c r="C8">
        <v>1881</v>
      </c>
      <c r="D8">
        <v>100</v>
      </c>
      <c r="E8">
        <v>8715</v>
      </c>
      <c r="F8">
        <v>10644</v>
      </c>
      <c r="G8">
        <v>43</v>
      </c>
      <c r="H8">
        <v>179</v>
      </c>
      <c r="I8" s="1">
        <f>25/140*Table1[[#This Row],[BRAMs]]+25/220*Table1[[#This Row],[DSPs]]+25/53200*Table1[[#This Row],[LUTs]]+25/106400*Table1[[#This Row],[FFs]]</f>
        <v>34.61581510594668</v>
      </c>
      <c r="J8" t="s">
        <v>14</v>
      </c>
    </row>
    <row r="9" spans="1:10" x14ac:dyDescent="0.4">
      <c r="A9" t="s">
        <v>29</v>
      </c>
      <c r="B9" t="s">
        <v>30</v>
      </c>
      <c r="C9">
        <v>37136</v>
      </c>
      <c r="D9">
        <v>100</v>
      </c>
      <c r="E9">
        <v>40685</v>
      </c>
      <c r="F9">
        <v>24784</v>
      </c>
      <c r="G9">
        <v>67</v>
      </c>
      <c r="H9">
        <v>198</v>
      </c>
      <c r="I9" s="1">
        <f>25/140*Table1[[#This Row],[BRAMs]]+25/220*Table1[[#This Row],[DSPs]]+25/53200*Table1[[#This Row],[LUTs]]+25/106400*Table1[[#This Row],[FFs]]</f>
        <v>59.406484962406012</v>
      </c>
      <c r="J9" t="s">
        <v>18</v>
      </c>
    </row>
    <row r="10" spans="1:10" x14ac:dyDescent="0.4">
      <c r="I10" s="1">
        <f>25/140*Table1[[#This Row],[BRAMs]]+25/220*Table1[[#This Row],[DSPs]]+25/53200*Table1[[#This Row],[LUTs]]+25/106400*Table1[[#This Row],[FFs]]</f>
        <v>0</v>
      </c>
    </row>
    <row r="11" spans="1:10" x14ac:dyDescent="0.4">
      <c r="I11" s="1">
        <f>25/140*Table1[[#This Row],[BRAMs]]+25/220*Table1[[#This Row],[DSPs]]+25/53200*Table1[[#This Row],[LUTs]]+25/106400*Table1[[#This Row],[FFs]]</f>
        <v>0</v>
      </c>
    </row>
    <row r="12" spans="1:10" x14ac:dyDescent="0.4">
      <c r="I12" s="1">
        <f>25/140*Table1[[#This Row],[BRAMs]]+25/220*Table1[[#This Row],[DSPs]]+25/53200*Table1[[#This Row],[LUTs]]+25/106400*Table1[[#This Row],[FFs]]</f>
        <v>0</v>
      </c>
    </row>
    <row r="13" spans="1:10" x14ac:dyDescent="0.4">
      <c r="I13" s="1">
        <f>25/140*Table1[[#This Row],[BRAMs]]+25/220*Table1[[#This Row],[DSPs]]+25/53200*Table1[[#This Row],[LUTs]]+25/106400*Table1[[#This Row],[FFs]]</f>
        <v>0</v>
      </c>
    </row>
    <row r="14" spans="1:10" x14ac:dyDescent="0.4">
      <c r="I14" s="1">
        <f>25/140*Table1[[#This Row],[BRAMs]]+25/220*Table1[[#This Row],[DSPs]]+25/53200*Table1[[#This Row],[LUTs]]+25/106400*Table1[[#This Row],[FFs]]</f>
        <v>0</v>
      </c>
    </row>
    <row r="15" spans="1:10" x14ac:dyDescent="0.4">
      <c r="I15" s="1">
        <f>25/140*Table1[[#This Row],[BRAMs]]+25/220*Table1[[#This Row],[DSPs]]+25/53200*Table1[[#This Row],[LUTs]]+25/106400*Table1[[#This Row],[FFs]]</f>
        <v>0</v>
      </c>
    </row>
    <row r="16" spans="1:10" x14ac:dyDescent="0.4">
      <c r="I16" s="1">
        <f>25/140*Table1[[#This Row],[BRAMs]]+25/220*Table1[[#This Row],[DSPs]]+25/53200*Table1[[#This Row],[LUTs]]+25/106400*Table1[[#This Row],[FFs]]</f>
        <v>0</v>
      </c>
    </row>
    <row r="19" spans="1:3" x14ac:dyDescent="0.4">
      <c r="A19" t="s">
        <v>21</v>
      </c>
      <c r="B19">
        <v>6.5288540000000006E-2</v>
      </c>
      <c r="C19">
        <v>6.5288540000000006E-2</v>
      </c>
    </row>
    <row r="20" spans="1:3" x14ac:dyDescent="0.4">
      <c r="A20" t="s">
        <v>22</v>
      </c>
      <c r="B20">
        <v>0.93905448999999996</v>
      </c>
      <c r="C20">
        <v>0.93905448999999996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Jenni</dc:creator>
  <cp:lastModifiedBy>Gaëtan Jenni</cp:lastModifiedBy>
  <dcterms:created xsi:type="dcterms:W3CDTF">2025-03-13T15:37:06Z</dcterms:created>
  <dcterms:modified xsi:type="dcterms:W3CDTF">2025-04-03T21:21:45Z</dcterms:modified>
</cp:coreProperties>
</file>